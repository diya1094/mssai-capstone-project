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mssai-capstone-project\payments_fraud_analytics\"/>
    </mc:Choice>
  </mc:AlternateContent>
  <xr:revisionPtr revIDLastSave="0" documentId="13_ncr:9_{1F2329B7-6A8A-4299-B64F-E1B871D7212C}" xr6:coauthVersionLast="47" xr6:coauthVersionMax="47" xr10:uidLastSave="{00000000-0000-0000-0000-000000000000}"/>
  <bookViews>
    <workbookView xWindow="-108" yWindow="-108" windowWidth="23256" windowHeight="12456" firstSheet="3" activeTab="5" xr2:uid="{023B05B4-7133-44F9-948E-831ADFA65BBA}"/>
  </bookViews>
  <sheets>
    <sheet name="Transactions_View" sheetId="1" r:id="rId1"/>
    <sheet name="Merchants" sheetId="2" r:id="rId2"/>
    <sheet name="HLOOKUP_Reference" sheetId="3" r:id="rId3"/>
    <sheet name="Daily_Merchant_Pivot" sheetId="5" r:id="rId4"/>
    <sheet name="Merchant_Status_Pivot" sheetId="6" r:id="rId5"/>
    <sheet name="Merchant_Day_Comparison" sheetId="9" r:id="rId6"/>
  </sheets>
  <definedNames>
    <definedName name="_xlcn.WorksheetConnection_Transactions_ViewA1O548" hidden="1">Transactions_View!$A$1:$O$548</definedName>
  </definedNames>
  <calcPr calcId="0"/>
  <pivotCaches>
    <pivotCache cacheId="6" r:id="rId7"/>
    <pivotCache cacheId="12" r:id="rId8"/>
    <pivotCache cacheId="37" r:id="rId9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Transactions_View!$A$1:$O$548"/>
        </x15:modelTables>
      </x15:dataModel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2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3" i="1"/>
  <c r="I4" i="1"/>
  <c r="I5" i="1"/>
  <c r="I6" i="1"/>
  <c r="I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7217F0-45B0-414E-AA6D-482A01FAAFA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A8E0E79-6FB7-432E-ADBE-913FFFD7CD20}" name="WorksheetConnection_Transactions_View!$A$1:$O$548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Transactions_ViewA1O548"/>
        </x15:connection>
      </ext>
    </extLst>
  </connection>
</connections>
</file>

<file path=xl/sharedStrings.xml><?xml version="1.0" encoding="utf-8"?>
<sst xmlns="http://schemas.openxmlformats.org/spreadsheetml/2006/main" count="3140" uniqueCount="665">
  <si>
    <t>transaction_id</t>
  </si>
  <si>
    <t>user_id</t>
  </si>
  <si>
    <t>merchant_id</t>
  </si>
  <si>
    <t>transaction_time</t>
  </si>
  <si>
    <t>amount_inr</t>
  </si>
  <si>
    <t>payment_method</t>
  </si>
  <si>
    <t>status</t>
  </si>
  <si>
    <t>risk_score</t>
  </si>
  <si>
    <t>TXN100000</t>
  </si>
  <si>
    <t>Wallet</t>
  </si>
  <si>
    <t>captured</t>
  </si>
  <si>
    <t>TXN100001</t>
  </si>
  <si>
    <t>UPI</t>
  </si>
  <si>
    <t>TXN100002</t>
  </si>
  <si>
    <t>TXN100003</t>
  </si>
  <si>
    <t>Netbanking</t>
  </si>
  <si>
    <t>TXN100004</t>
  </si>
  <si>
    <t>TXN100005</t>
  </si>
  <si>
    <t>TXN100006</t>
  </si>
  <si>
    <t>TXN100007</t>
  </si>
  <si>
    <t>TXN100008</t>
  </si>
  <si>
    <t>TXN100009</t>
  </si>
  <si>
    <t>TXN100010</t>
  </si>
  <si>
    <t>TXN100011</t>
  </si>
  <si>
    <t>Card</t>
  </si>
  <si>
    <t>failed</t>
  </si>
  <si>
    <t>TXN100012</t>
  </si>
  <si>
    <t>TXN100013</t>
  </si>
  <si>
    <t>TXN100014</t>
  </si>
  <si>
    <t>TXN100015</t>
  </si>
  <si>
    <t>TXN100016</t>
  </si>
  <si>
    <t>TXN100017</t>
  </si>
  <si>
    <t>TXN100018</t>
  </si>
  <si>
    <t>TXN100019</t>
  </si>
  <si>
    <t>TXN100020</t>
  </si>
  <si>
    <t>TXN100021</t>
  </si>
  <si>
    <t>TXN100022</t>
  </si>
  <si>
    <t>TXN100023</t>
  </si>
  <si>
    <t>chargeback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</si>
  <si>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</si>
  <si>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</si>
  <si>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</si>
  <si>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</si>
  <si>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</si>
  <si>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</si>
  <si>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</si>
  <si>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</si>
  <si>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</si>
  <si>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</si>
  <si>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</si>
  <si>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</si>
  <si>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</si>
  <si>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</si>
  <si>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</si>
  <si>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</si>
  <si>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</si>
  <si>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</si>
  <si>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</si>
  <si>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</si>
  <si>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</si>
  <si>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</si>
  <si>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</si>
  <si>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</si>
  <si>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</si>
  <si>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</si>
  <si>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</si>
  <si>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</si>
  <si>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</si>
  <si>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</si>
  <si>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</si>
  <si>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</si>
  <si>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</si>
  <si>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</si>
  <si>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</si>
  <si>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</si>
  <si>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</si>
  <si>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</si>
  <si>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</si>
  <si>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</si>
  <si>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</si>
  <si>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</si>
  <si>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</si>
  <si>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</si>
  <si>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</si>
  <si>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</si>
  <si>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</si>
  <si>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</si>
  <si>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</si>
  <si>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</si>
  <si>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</si>
  <si>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</si>
  <si>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</si>
  <si>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</si>
  <si>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</si>
  <si>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</si>
  <si>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</si>
  <si>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</si>
  <si>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</si>
  <si>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</si>
  <si>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</si>
  <si>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</si>
  <si>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</si>
  <si>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</si>
  <si>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</si>
  <si>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</si>
  <si>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</si>
  <si>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</si>
  <si>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</si>
  <si>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</si>
  <si>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</si>
  <si>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</si>
  <si>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</si>
  <si>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</si>
  <si>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</si>
  <si>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</si>
  <si>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</si>
  <si>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</si>
  <si>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</si>
  <si>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</si>
  <si>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</si>
  <si>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</si>
  <si>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</si>
  <si>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</si>
  <si>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</si>
  <si>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</si>
  <si>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</si>
  <si>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</si>
  <si>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</si>
  <si>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</si>
  <si>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</si>
  <si>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</si>
  <si>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</si>
  <si>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</si>
  <si>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</si>
  <si>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</si>
  <si>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</si>
  <si>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</si>
  <si>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</si>
  <si>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</si>
  <si>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</si>
  <si>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</si>
  <si>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</si>
  <si>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</si>
  <si>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</si>
  <si>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</si>
  <si>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</si>
  <si>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</si>
  <si>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</si>
  <si>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</si>
  <si>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</si>
  <si>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</si>
  <si>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</si>
  <si>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</si>
  <si>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</si>
  <si>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</si>
  <si>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</si>
  <si>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</si>
  <si>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</si>
  <si>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</si>
  <si>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</si>
  <si>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</si>
  <si>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</si>
  <si>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</si>
  <si>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</si>
  <si>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</si>
  <si>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</si>
  <si>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</si>
  <si>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</si>
  <si>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</si>
  <si>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</si>
  <si>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</si>
  <si>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</si>
  <si>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</si>
  <si>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</si>
  <si>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</si>
  <si>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</si>
  <si>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</si>
  <si>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</si>
  <si>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</si>
  <si>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</si>
  <si>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</si>
  <si>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</si>
  <si>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</si>
  <si>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</si>
  <si>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</si>
  <si>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</si>
  <si>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</si>
  <si>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</si>
  <si>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</si>
  <si>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</si>
  <si>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</si>
  <si>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</si>
  <si>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</si>
  <si>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</si>
  <si>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</si>
  <si>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</si>
  <si>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</si>
  <si>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</si>
  <si>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</si>
  <si>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</si>
  <si>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</si>
  <si>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</si>
  <si>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</si>
  <si>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</si>
  <si>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</si>
  <si>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</si>
  <si>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</si>
  <si>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</si>
  <si>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</si>
  <si>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</si>
  <si>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</si>
  <si>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</si>
  <si>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</si>
  <si>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</si>
  <si>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</si>
  <si>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</si>
  <si>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</si>
  <si>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</si>
  <si>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</si>
  <si>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</si>
  <si>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</si>
  <si>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</si>
  <si>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</si>
  <si>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</si>
  <si>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</si>
  <si>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</si>
  <si>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</si>
  <si>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</si>
  <si>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</si>
  <si>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</si>
  <si>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</si>
  <si>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</si>
  <si>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</si>
  <si>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</si>
  <si>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</si>
  <si>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</si>
  <si>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</si>
  <si>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</si>
  <si>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</si>
  <si>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</si>
  <si>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</si>
  <si>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</si>
  <si>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</si>
  <si>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</si>
  <si>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</si>
  <si>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</si>
  <si>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</si>
  <si>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</si>
  <si>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</si>
  <si>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</si>
  <si>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</si>
  <si>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</si>
  <si>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</si>
  <si>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</si>
  <si>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</si>
  <si>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</si>
  <si>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</si>
  <si>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</si>
  <si>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</si>
  <si>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</si>
  <si>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</si>
  <si>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</si>
  <si>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</si>
  <si>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</si>
  <si>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</si>
  <si>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</si>
  <si>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</si>
  <si>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</si>
  <si>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</si>
  <si>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</si>
  <si>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</si>
  <si>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</si>
  <si>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</si>
  <si>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</si>
  <si>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</si>
  <si>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</si>
  <si>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</si>
  <si>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</si>
  <si>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</si>
  <si>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</si>
  <si>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</si>
  <si>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</si>
  <si>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</si>
  <si>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</si>
  <si>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</si>
  <si>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</si>
  <si>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</si>
  <si>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</si>
  <si>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</si>
  <si>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</si>
  <si>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</si>
  <si>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</si>
  <si>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</si>
  <si>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</si>
  <si>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</si>
  <si>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</si>
  <si>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</si>
  <si>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</si>
  <si>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</si>
  <si>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</si>
  <si>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</si>
  <si>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</si>
  <si>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</si>
  <si>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</si>
  <si>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</si>
  <si>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</si>
  <si>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</si>
  <si>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</si>
  <si>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</si>
  <si>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</si>
  <si>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</si>
  <si>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</si>
  <si>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</si>
  <si>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</si>
  <si>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</si>
  <si>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</si>
  <si>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</si>
  <si>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</si>
  <si>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</si>
  <si>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</si>
  <si>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</si>
  <si>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</si>
  <si>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</si>
  <si>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</si>
  <si>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</si>
  <si>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</si>
  <si>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</si>
  <si>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</si>
  <si>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</si>
  <si>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</si>
  <si>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</si>
  <si>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</si>
  <si>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</si>
  <si>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</si>
  <si>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</si>
  <si>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</si>
  <si>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</si>
  <si>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</si>
  <si>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</si>
  <si>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</si>
  <si>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</si>
  <si>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</si>
  <si>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</si>
  <si>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</si>
  <si>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</si>
  <si>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</si>
  <si>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</si>
  <si>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</si>
  <si>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</si>
  <si>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</si>
  <si>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</si>
  <si>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</si>
  <si>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</si>
  <si>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</si>
  <si>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</si>
  <si>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</si>
  <si>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</si>
  <si>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</si>
  <si>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</si>
  <si>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</si>
  <si>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</si>
  <si>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</si>
  <si>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</si>
  <si>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</si>
  <si>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</si>
  <si>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</si>
  <si>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</si>
  <si>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</si>
  <si>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</si>
  <si>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</si>
  <si>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</si>
  <si>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</si>
  <si>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</si>
  <si>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</si>
  <si>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</si>
  <si>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</si>
  <si>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</si>
  <si>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</si>
  <si>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</si>
  <si>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</si>
  <si>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</si>
  <si>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</si>
  <si>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</si>
  <si>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</si>
  <si>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</si>
  <si>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</si>
  <si>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</si>
  <si>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</si>
  <si>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</si>
  <si>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</si>
  <si>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</si>
  <si>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</si>
  <si>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</si>
  <si>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</si>
  <si>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</si>
  <si>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</si>
  <si>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</si>
  <si>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</si>
  <si>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</si>
  <si>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</si>
  <si>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</si>
  <si>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</si>
  <si>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</si>
  <si>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</si>
  <si>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</si>
  <si>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</si>
  <si>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</si>
  <si>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</si>
  <si>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</si>
  <si>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</si>
  <si>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</si>
  <si>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</si>
  <si>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</si>
  <si>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</si>
  <si>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</si>
  <si>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</si>
  <si>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</si>
  <si>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</si>
  <si>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</si>
  <si>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</si>
  <si>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</si>
  <si>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</si>
  <si>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</si>
  <si>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</si>
  <si>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</si>
  <si>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</si>
  <si>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</si>
  <si>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</si>
  <si>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</si>
  <si>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</si>
  <si>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</si>
  <si>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</si>
  <si>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</si>
  <si>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</si>
  <si>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</si>
  <si>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</si>
  <si>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</si>
  <si>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</si>
  <si>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</si>
  <si>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</si>
  <si>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</si>
  <si>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</si>
  <si>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</si>
  <si>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</si>
  <si>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</si>
  <si>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</si>
  <si>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</si>
  <si>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</si>
  <si>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</si>
  <si>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</si>
  <si>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</si>
  <si>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</si>
  <si>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</si>
  <si>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</si>
  <si>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</si>
  <si>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</si>
  <si>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</si>
  <si>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</si>
  <si>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</si>
  <si>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</si>
  <si>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</si>
  <si>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</si>
  <si>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</si>
  <si>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</si>
  <si>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</si>
  <si>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</si>
  <si>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</si>
  <si>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</si>
  <si>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</si>
  <si>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</si>
  <si>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</si>
  <si>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</si>
  <si>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</si>
  <si>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</si>
  <si>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</si>
  <si>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</si>
  <si>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</si>
  <si>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</si>
  <si>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</si>
  <si>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</si>
  <si>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</si>
  <si>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</si>
  <si>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</si>
  <si>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</si>
  <si>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</si>
  <si>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</si>
  <si>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</si>
  <si>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</si>
  <si>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</si>
  <si>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</si>
  <si>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</si>
  <si>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</si>
  <si>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</si>
  <si>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</si>
  <si>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</si>
  <si>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</si>
  <si>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</si>
  <si>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</si>
  <si>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</si>
  <si>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</si>
  <si>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</si>
  <si>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</si>
  <si>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</si>
  <si>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</si>
  <si>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</si>
  <si>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</si>
  <si>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</si>
  <si>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</si>
  <si>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</si>
  <si>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</si>
  <si>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</si>
  <si>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</si>
  <si>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</si>
  <si>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</si>
  <si>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</si>
  <si>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TXN200000</t>
  </si>
  <si>
    <t>TXN200001</t>
  </si>
  <si>
    <t>TXN200002</t>
  </si>
  <si>
    <t>TXN200003</t>
  </si>
  <si>
    <t>TXN200004</t>
  </si>
  <si>
    <t>TXN200005</t>
  </si>
  <si>
    <t>TXN200006</t>
  </si>
  <si>
    <t>TXN200007</t>
  </si>
  <si>
    <t>TXN200008</t>
  </si>
  <si>
    <t>TXN200009</t>
  </si>
  <si>
    <t>TXN200010</t>
  </si>
  <si>
    <t>TXN200011</t>
  </si>
  <si>
    <t>TXN200012</t>
  </si>
  <si>
    <t>TXN200013</t>
  </si>
  <si>
    <t>TXN200014</t>
  </si>
  <si>
    <t>TXN300000</t>
  </si>
  <si>
    <t>TXN300001</t>
  </si>
  <si>
    <t>TXN300002</t>
  </si>
  <si>
    <t>TXN300003</t>
  </si>
  <si>
    <t>TXN300004</t>
  </si>
  <si>
    <t>TXN300005</t>
  </si>
  <si>
    <t>TXN300006</t>
  </si>
  <si>
    <t>TXN300007</t>
  </si>
  <si>
    <t>TXN300008</t>
  </si>
  <si>
    <t>TXN300009</t>
  </si>
  <si>
    <t>TXN300010</t>
  </si>
  <si>
    <t>TXN300011</t>
  </si>
  <si>
    <t>TXN300012</t>
  </si>
  <si>
    <t>TXN300013</t>
  </si>
  <si>
    <t>TXN300014</t>
  </si>
  <si>
    <t>TXN300015</t>
  </si>
  <si>
    <t>TXN300016</t>
  </si>
  <si>
    <t>TXN300017</t>
  </si>
  <si>
    <t>TXN300018</t>
  </si>
  <si>
    <t>TXN300019</t>
  </si>
  <si>
    <t>TXN300020</t>
  </si>
  <si>
    <t>TXN300021</t>
  </si>
  <si>
    <t>TXN300022</t>
  </si>
  <si>
    <t>TXN300023</t>
  </si>
  <si>
    <t>TXN300024</t>
  </si>
  <si>
    <t>TXN300025</t>
  </si>
  <si>
    <t>TXN300026</t>
  </si>
  <si>
    <t>TXN300027</t>
  </si>
  <si>
    <t>TXN300028</t>
  </si>
  <si>
    <t>TXN300029</t>
  </si>
  <si>
    <t>TXN300030</t>
  </si>
  <si>
    <t>TXN300031</t>
  </si>
  <si>
    <t>merchant_name</t>
  </si>
  <si>
    <t>category</t>
  </si>
  <si>
    <t>region</t>
  </si>
  <si>
    <t>Merchant_001</t>
  </si>
  <si>
    <t>ecommerce</t>
  </si>
  <si>
    <t>South</t>
  </si>
  <si>
    <t>Merchant_002</t>
  </si>
  <si>
    <t>grocery</t>
  </si>
  <si>
    <t>West</t>
  </si>
  <si>
    <t>Merchant_003</t>
  </si>
  <si>
    <t>East</t>
  </si>
  <si>
    <t>Merchant_004</t>
  </si>
  <si>
    <t>Merchant_005</t>
  </si>
  <si>
    <t>recharge</t>
  </si>
  <si>
    <t>Merchant_006</t>
  </si>
  <si>
    <t>food_delivery</t>
  </si>
  <si>
    <t>Merchant_007</t>
  </si>
  <si>
    <t>Merchant_008</t>
  </si>
  <si>
    <t>North</t>
  </si>
  <si>
    <t>Merchant_009</t>
  </si>
  <si>
    <t>Merchant_010</t>
  </si>
  <si>
    <t>Merchant_011</t>
  </si>
  <si>
    <t>Merchant_012</t>
  </si>
  <si>
    <t>Merchant_013</t>
  </si>
  <si>
    <t>travel</t>
  </si>
  <si>
    <t>Merchant_014</t>
  </si>
  <si>
    <t>Merchant_015</t>
  </si>
  <si>
    <t>Merchant_016</t>
  </si>
  <si>
    <t>bill_payment</t>
  </si>
  <si>
    <t>Merchant_017</t>
  </si>
  <si>
    <t>Merchant_018</t>
  </si>
  <si>
    <t>Merchant_019</t>
  </si>
  <si>
    <t>Merchant_020</t>
  </si>
  <si>
    <t>Merchant_021</t>
  </si>
  <si>
    <t>Merchant_022</t>
  </si>
  <si>
    <t>Merchant_023</t>
  </si>
  <si>
    <t>Merchant_024</t>
  </si>
  <si>
    <t>Merchant_025</t>
  </si>
  <si>
    <t>Merchant_026</t>
  </si>
  <si>
    <t>Merchant_027</t>
  </si>
  <si>
    <t>Merchant_028</t>
  </si>
  <si>
    <t>Merchant_029</t>
  </si>
  <si>
    <t>Merchant_030</t>
  </si>
  <si>
    <t>Merchant_031</t>
  </si>
  <si>
    <t>Merchant_032</t>
  </si>
  <si>
    <t>Merchant_033</t>
  </si>
  <si>
    <t>Merchant_034</t>
  </si>
  <si>
    <t>Merchant_035</t>
  </si>
  <si>
    <t>Merchant_036</t>
  </si>
  <si>
    <t>entertainment</t>
  </si>
  <si>
    <t>Merchant_037</t>
  </si>
  <si>
    <t>Merchant_038</t>
  </si>
  <si>
    <t>Merchant_039</t>
  </si>
  <si>
    <t>Merchant_040</t>
  </si>
  <si>
    <t>Payment Method</t>
  </si>
  <si>
    <t>MDR Fee %</t>
  </si>
  <si>
    <t>Assumption: MDR-style fee percentages are illustrative for HLOOKUP demonstration</t>
  </si>
  <si>
    <t>Row Labels</t>
  </si>
  <si>
    <t>Grand Total</t>
  </si>
  <si>
    <t>01-Jan</t>
  </si>
  <si>
    <t>02-Jan</t>
  </si>
  <si>
    <t>03-Jan</t>
  </si>
  <si>
    <t>04-Jan</t>
  </si>
  <si>
    <t>05-Jan</t>
  </si>
  <si>
    <t>06-Jan</t>
  </si>
  <si>
    <t>07-Jan</t>
  </si>
  <si>
    <t>08-Jan</t>
  </si>
  <si>
    <t>09-Jan</t>
  </si>
  <si>
    <t>10-Jan</t>
  </si>
  <si>
    <t>11-Jan</t>
  </si>
  <si>
    <t>12-Jan</t>
  </si>
  <si>
    <t>13-Jan</t>
  </si>
  <si>
    <t>14-Jan</t>
  </si>
  <si>
    <t>15-Jan</t>
  </si>
  <si>
    <t>16-Jan</t>
  </si>
  <si>
    <t>17-Jan</t>
  </si>
  <si>
    <t>18-Jan</t>
  </si>
  <si>
    <t>19-Jan</t>
  </si>
  <si>
    <t>20-Jan</t>
  </si>
  <si>
    <t>21-Jan</t>
  </si>
  <si>
    <t>22-Jan</t>
  </si>
  <si>
    <t>23-Jan</t>
  </si>
  <si>
    <t>24-Jan</t>
  </si>
  <si>
    <t>25-Jan</t>
  </si>
  <si>
    <t>26-Jan</t>
  </si>
  <si>
    <t>27-Jan</t>
  </si>
  <si>
    <t>28-Jan</t>
  </si>
  <si>
    <t>29-Jan</t>
  </si>
  <si>
    <t>30-Jan</t>
  </si>
  <si>
    <t>Sum of amount_inr</t>
  </si>
  <si>
    <t>2026</t>
  </si>
  <si>
    <t>Jan</t>
  </si>
  <si>
    <t>Daily Merchant Total</t>
  </si>
  <si>
    <t>Years (transaction_time)</t>
  </si>
  <si>
    <t>Months (transaction_time)</t>
  </si>
  <si>
    <t>Days (transaction_time)</t>
  </si>
  <si>
    <t>Merchant Day Classification</t>
  </si>
  <si>
    <t>Count of transaction_id</t>
  </si>
  <si>
    <t>Total Count of transaction_id</t>
  </si>
  <si>
    <t>Total Sum of amount_inr</t>
  </si>
  <si>
    <t>Values</t>
  </si>
  <si>
    <t>transaction_date</t>
  </si>
  <si>
    <t>Distinct Count of transaction_date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</si>
</sst>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owerPivotData" Target="model/item.data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51.882417939814" createdVersion="8" refreshedVersion="8" minRefreshableVersion="3" recordCount="547" xr:uid="{334843C4-7F84-4BB6-8D59-5454E96CE351}">
  <cacheSource type="worksheet">
    <worksheetSource ref="A1:L548" sheet="Transactions_View"/>
  </cacheSource>
  <cacheFields count="15">
    <cacheField name="transaction_id" numFmtId="0">
      <sharedItems/>
    </cacheField>
    <cacheField name="user_id" numFmtId="0">
      <sharedItems containsSemiMixedTypes="0" containsString="0" containsNumber="1" containsInteger="1" minValue="1" maxValue="365"/>
    </cacheField>
    <cacheField name="merchant_id" numFmtId="0">
      <sharedItems containsSemiMixedTypes="0" containsString="0" containsNumber="1" containsInteger="1" minValue="1" maxValue="40" count="40">
        <n v="16"/>
        <n v="27"/>
        <n v="11"/>
        <n v="22"/>
        <n v="3"/>
        <n v="23"/>
        <n v="13"/>
        <n v="18"/>
        <n v="35"/>
        <n v="12"/>
        <n v="28"/>
        <n v="33"/>
        <n v="40"/>
        <n v="19"/>
        <n v="25"/>
        <n v="20"/>
        <n v="14"/>
        <n v="21"/>
        <n v="6"/>
        <n v="15"/>
        <n v="31"/>
        <n v="37"/>
        <n v="26"/>
        <n v="7"/>
        <n v="30"/>
        <n v="36"/>
        <n v="29"/>
        <n v="2"/>
        <n v="17"/>
        <n v="4"/>
        <n v="8"/>
        <n v="24"/>
        <n v="5"/>
        <n v="32"/>
        <n v="10"/>
        <n v="38"/>
        <n v="34"/>
        <n v="1"/>
        <n v="39"/>
        <n v="9"/>
      </sharedItems>
    </cacheField>
    <cacheField name="transaction_time" numFmtId="22">
      <sharedItems containsSemiMixedTypes="0" containsNonDate="0" containsDate="1" containsString="0" minDate="2026-01-01T02:14:00" maxDate="2026-01-30T23:17:00" count="542">
        <d v="2026-01-29T11:13:00"/>
        <d v="2026-01-04T11:49:00"/>
        <d v="2026-01-24T04:59:00"/>
        <d v="2026-01-29T13:01:00"/>
        <d v="2026-01-30T13:51:00"/>
        <d v="2026-01-06T22:06:00"/>
        <d v="2026-01-08T06:52:00"/>
        <d v="2026-01-27T07:14:00"/>
        <d v="2026-01-11T08:55:00"/>
        <d v="2026-01-21T16:25:00"/>
        <d v="2026-01-01T03:56:00"/>
        <d v="2026-01-09T01:06:00"/>
        <d v="2026-01-24T10:27:00"/>
        <d v="2026-01-13T18:12:00"/>
        <d v="2026-01-14T00:33:00"/>
        <d v="2026-01-14T02:42:00"/>
        <d v="2026-01-22T03:46:00"/>
        <d v="2026-01-22T13:20:00"/>
        <d v="2026-01-05T06:26:00"/>
        <d v="2026-01-24T05:39:00"/>
        <d v="2026-01-18T00:19:00"/>
        <d v="2026-01-26T18:38:00"/>
        <d v="2026-01-15T14:43:00"/>
        <d v="2026-01-26T23:10:00"/>
        <d v="2026-01-17T21:40:00"/>
        <d v="2026-01-27T07:43:00"/>
        <d v="2026-01-05T00:02:00"/>
        <d v="2026-01-28T02:29:00"/>
        <d v="2026-01-23T22:24:00"/>
        <d v="2026-01-05T20:44:00"/>
        <d v="2026-01-14T07:11:00"/>
        <d v="2026-01-18T07:58:00"/>
        <d v="2026-01-26T14:42:00"/>
        <d v="2026-01-11T14:39:00"/>
        <d v="2026-01-15T05:47:00"/>
        <d v="2026-01-25T07:53:00"/>
        <d v="2026-01-25T16:31:00"/>
        <d v="2026-01-15T02:45:00"/>
        <d v="2026-01-11T10:57:00"/>
        <d v="2026-01-05T07:24:00"/>
        <d v="2026-01-14T13:21:00"/>
        <d v="2026-01-02T06:53:00"/>
        <d v="2026-01-19T22:01:00"/>
        <d v="2026-01-01T11:19:00"/>
        <d v="2026-01-24T23:34:00"/>
        <d v="2026-01-08T08:27:00"/>
        <d v="2026-01-11T21:43:00"/>
        <d v="2026-01-30T04:39:00"/>
        <d v="2026-01-19T18:42:00"/>
        <d v="2026-01-14T04:55:00"/>
        <d v="2026-01-09T12:20:00"/>
        <d v="2026-01-11T12:17:00"/>
        <d v="2026-01-16T00:47:00"/>
        <d v="2026-01-08T20:04:00"/>
        <d v="2026-01-01T07:12:00"/>
        <d v="2026-01-08T04:30:00"/>
        <d v="2026-01-07T14:44:00"/>
        <d v="2026-01-20T19:47:00"/>
        <d v="2026-01-04T18:01:00"/>
        <d v="2026-01-30T12:25:00"/>
        <d v="2026-01-23T20:15:00"/>
        <d v="2026-01-20T03:50:00"/>
        <d v="2026-01-18T13:42:00"/>
        <d v="2026-01-21T10:00:00"/>
        <d v="2026-01-14T11:40:00"/>
        <d v="2026-01-06T23:33:00"/>
        <d v="2026-01-26T17:49:00"/>
        <d v="2026-01-27T23:37:00"/>
        <d v="2026-01-27T02:17:00"/>
        <d v="2026-01-15T18:39:00"/>
        <d v="2026-01-01T15:54:00"/>
        <d v="2026-01-07T11:51:00"/>
        <d v="2026-01-29T19:44:00"/>
        <d v="2026-01-17T06:05:00"/>
        <d v="2026-01-18T07:44:00"/>
        <d v="2026-01-26T00:05:00"/>
        <d v="2026-01-23T07:19:00"/>
        <d v="2026-01-16T17:33:00"/>
        <d v="2026-01-18T10:22:00"/>
        <d v="2026-01-09T07:07:00"/>
        <d v="2026-01-24T17:48:00"/>
        <d v="2026-01-24T15:17:00"/>
        <d v="2026-01-10T03:53:00"/>
        <d v="2026-01-12T05:19:00"/>
        <d v="2026-01-09T01:03:00"/>
        <d v="2026-01-05T20:55:00"/>
        <d v="2026-01-19T09:30:00"/>
        <d v="2026-01-06T01:16:00"/>
        <d v="2026-01-13T15:04:00"/>
        <d v="2026-01-05T18:19:00"/>
        <d v="2026-01-18T13:38:00"/>
        <d v="2026-01-25T16:24:00"/>
        <d v="2026-01-28T18:27:00"/>
        <d v="2026-01-02T19:47:00"/>
        <d v="2026-01-07T08:42:00"/>
        <d v="2026-01-06T17:04:00"/>
        <d v="2026-01-15T22:38:00"/>
        <d v="2026-01-08T09:45:00"/>
        <d v="2026-01-22T07:59:00"/>
        <d v="2026-01-26T06:27:00"/>
        <d v="2026-01-21T04:58:00"/>
        <d v="2026-01-02T05:50:00"/>
        <d v="2026-01-27T18:58:00"/>
        <d v="2026-01-15T22:19:00"/>
        <d v="2026-01-18T15:28:00"/>
        <d v="2026-01-29T13:47:00"/>
        <d v="2026-01-01T02:14:00"/>
        <d v="2026-01-01T21:52:00"/>
        <d v="2026-01-25T05:30:00"/>
        <d v="2026-01-06T18:27:00"/>
        <d v="2026-01-16T11:26:00"/>
        <d v="2026-01-04T05:21:00"/>
        <d v="2026-01-22T12:52:00"/>
        <d v="2026-01-03T10:16:00"/>
        <d v="2026-01-13T16:52:00"/>
        <d v="2026-01-14T01:12:00"/>
        <d v="2026-01-25T15:40:00"/>
        <d v="2026-01-09T17:08:00"/>
        <d v="2026-01-16T03:01:00"/>
        <d v="2026-01-23T05:19:00"/>
        <d v="2026-01-14T02:14:00"/>
        <d v="2026-01-21T04:31:00"/>
        <d v="2026-01-09T13:53:00"/>
        <d v="2026-01-15T17:09:00"/>
        <d v="2026-01-17T23:56:00"/>
        <d v="2026-01-25T13:21:00"/>
        <d v="2026-01-10T23:19:00"/>
        <d v="2026-01-16T04:28:00"/>
        <d v="2026-01-11T17:48:00"/>
        <d v="2026-01-30T10:55:00"/>
        <d v="2026-01-13T07:54:00"/>
        <d v="2026-01-24T15:45:00"/>
        <d v="2026-01-26T20:09:00"/>
        <d v="2026-01-17T18:21:00"/>
        <d v="2026-01-17T14:00:00"/>
        <d v="2026-01-05T02:30:00"/>
        <d v="2026-01-23T12:41:00"/>
        <d v="2026-01-28T17:24:00"/>
        <d v="2026-01-02T19:04:00"/>
        <d v="2026-01-24T02:27:00"/>
        <d v="2026-01-06T22:19:00"/>
        <d v="2026-01-26T01:18:00"/>
        <d v="2026-01-05T07:33:00"/>
        <d v="2026-01-26T05:10:00"/>
        <d v="2026-01-28T12:39:00"/>
        <d v="2026-01-30T18:09:00"/>
        <d v="2026-01-09T14:16:00"/>
        <d v="2026-01-29T09:43:00"/>
        <d v="2026-01-15T11:37:00"/>
        <d v="2026-01-09T14:54:00"/>
        <d v="2026-01-28T15:06:00"/>
        <d v="2026-01-12T18:18:00"/>
        <d v="2026-01-13T08:00:00"/>
        <d v="2026-01-24T15:53:00"/>
        <d v="2026-01-26T11:14:00"/>
        <d v="2026-01-09T21:48:00"/>
        <d v="2026-01-04T20:41:00"/>
        <d v="2026-01-15T01:37:00"/>
        <d v="2026-01-30T09:20:00"/>
        <d v="2026-01-05T17:56:00"/>
        <d v="2026-01-30T08:53:00"/>
        <d v="2026-01-26T09:47:00"/>
        <d v="2026-01-03T04:48:00"/>
        <d v="2026-01-12T02:50:00"/>
        <d v="2026-01-18T03:29:00"/>
        <d v="2026-01-13T20:23:00"/>
        <d v="2026-01-01T19:56:00"/>
        <d v="2026-01-10T20:26:00"/>
        <d v="2026-01-02T09:31:00"/>
        <d v="2026-01-29T17:08:00"/>
        <d v="2026-01-22T23:44:00"/>
        <d v="2026-01-24T23:09:00"/>
        <d v="2026-01-20T13:17:00"/>
        <d v="2026-01-15T14:15:00"/>
        <d v="2026-01-12T17:57:00"/>
        <d v="2026-01-13T08:12:00"/>
        <d v="2026-01-22T06:41:00"/>
        <d v="2026-01-02T10:15:00"/>
        <d v="2026-01-03T17:13:00"/>
        <d v="2026-01-11T04:50:00"/>
        <d v="2026-01-28T04:08:00"/>
        <d v="2026-01-04T21:55:00"/>
        <d v="2026-01-12T07:37:00"/>
        <d v="2026-01-09T01:08:00"/>
        <d v="2026-01-24T02:30:00"/>
        <d v="2026-01-19T03:28:00"/>
        <d v="2026-01-02T23:50:00"/>
        <d v="2026-01-15T20:01:00"/>
        <d v="2026-01-14T21:06:00"/>
        <d v="2026-01-29T02:20:00"/>
        <d v="2026-01-05T08:39:00"/>
        <d v="2026-01-23T10:24:00"/>
        <d v="2026-01-15T16:38:00"/>
        <d v="2026-01-15T07:26:00"/>
        <d v="2026-01-14T23:06:00"/>
        <d v="2026-01-22T08:23:00"/>
        <d v="2026-01-03T02:05:00"/>
        <d v="2026-01-24T11:51:00"/>
        <d v="2026-01-19T17:35:00"/>
        <d v="2026-01-12T21:48:00"/>
        <d v="2026-01-20T09:22:00"/>
        <d v="2026-01-07T04:42:00"/>
        <d v="2026-01-12T17:23:00"/>
        <d v="2026-01-08T13:54:00"/>
        <d v="2026-01-22T20:35:00"/>
        <d v="2026-01-27T22:17:00"/>
        <d v="2026-01-23T09:58:00"/>
        <d v="2026-01-06T04:36:00"/>
        <d v="2026-01-05T23:40:00"/>
        <d v="2026-01-17T06:24:00"/>
        <d v="2026-01-06T11:19:00"/>
        <d v="2026-01-03T01:09:00"/>
        <d v="2026-01-22T02:17:00"/>
        <d v="2026-01-20T14:26:00"/>
        <d v="2026-01-17T03:22:00"/>
        <d v="2026-01-22T21:37:00"/>
        <d v="2026-01-10T01:14:00"/>
        <d v="2026-01-01T06:19:00"/>
        <d v="2026-01-09T09:20:00"/>
        <d v="2026-01-24T13:11:00"/>
        <d v="2026-01-23T07:32:00"/>
        <d v="2026-01-13T23:02:00"/>
        <d v="2026-01-30T02:55:00"/>
        <d v="2026-01-19T12:45:00"/>
        <d v="2026-01-04T12:01:00"/>
        <d v="2026-01-15T22:58:00"/>
        <d v="2026-01-28T03:15:00"/>
        <d v="2026-01-17T02:25:00"/>
        <d v="2026-01-11T05:04:00"/>
        <d v="2026-01-17T06:57:00"/>
        <d v="2026-01-27T20:52:00"/>
        <d v="2026-01-05T08:12:00"/>
        <d v="2026-01-25T20:04:00"/>
        <d v="2026-01-25T18:48:00"/>
        <d v="2026-01-30T18:41:00"/>
        <d v="2026-01-28T20:20:00"/>
        <d v="2026-01-16T14:40:00"/>
        <d v="2026-01-02T11:32:00"/>
        <d v="2026-01-15T01:03:00"/>
        <d v="2026-01-21T02:39:00"/>
        <d v="2026-01-15T18:35:00"/>
        <d v="2026-01-21T06:20:00"/>
        <d v="2026-01-05T01:28:00"/>
        <d v="2026-01-03T16:41:00"/>
        <d v="2026-01-23T14:28:00"/>
        <d v="2026-01-06T11:23:00"/>
        <d v="2026-01-25T10:43:00"/>
        <d v="2026-01-21T10:04:00"/>
        <d v="2026-01-22T12:18:00"/>
        <d v="2026-01-11T02:37:00"/>
        <d v="2026-01-10T20:44:00"/>
        <d v="2026-01-20T22:05:00"/>
        <d v="2026-01-21T10:52:00"/>
        <d v="2026-01-21T21:27:00"/>
        <d v="2026-01-12T09:11:00"/>
        <d v="2026-01-16T06:14:00"/>
        <d v="2026-01-10T03:32:00"/>
        <d v="2026-01-22T10:56:00"/>
        <d v="2026-01-13T04:10:00"/>
        <d v="2026-01-24T14:02:00"/>
        <d v="2026-01-24T07:28:00"/>
        <d v="2026-01-24T14:14:00"/>
        <d v="2026-01-26T15:57:00"/>
        <d v="2026-01-19T14:29:00"/>
        <d v="2026-01-17T13:10:00"/>
        <d v="2026-01-28T08:03:00"/>
        <d v="2026-01-18T03:45:00"/>
        <d v="2026-01-03T05:17:00"/>
        <d v="2026-01-27T13:05:00"/>
        <d v="2026-01-30T00:26:00"/>
        <d v="2026-01-12T07:24:00"/>
        <d v="2026-01-01T10:59:00"/>
        <d v="2026-01-05T01:18:00"/>
        <d v="2026-01-23T15:28:00"/>
        <d v="2026-01-01T08:13:00"/>
        <d v="2026-01-20T16:27:00"/>
        <d v="2026-01-10T03:03:00"/>
        <d v="2026-01-26T19:29:00"/>
        <d v="2026-01-20T17:01:00"/>
        <d v="2026-01-08T22:09:00"/>
        <d v="2026-01-20T11:15:00"/>
        <d v="2026-01-22T21:05:00"/>
        <d v="2026-01-17T17:32:00"/>
        <d v="2026-01-13T15:02:00"/>
        <d v="2026-01-09T23:01:00"/>
        <d v="2026-01-08T23:42:00"/>
        <d v="2026-01-19T23:48:00"/>
        <d v="2026-01-12T17:21:00"/>
        <d v="2026-01-22T14:44:00"/>
        <d v="2026-01-03T22:49:00"/>
        <d v="2026-01-07T01:50:00"/>
        <d v="2026-01-30T09:32:00"/>
        <d v="2026-01-09T01:48:00"/>
        <d v="2026-01-12T01:55:00"/>
        <d v="2026-01-04T11:27:00"/>
        <d v="2026-01-11T05:31:00"/>
        <d v="2026-01-09T02:46:00"/>
        <d v="2026-01-20T05:34:00"/>
        <d v="2026-01-03T10:42:00"/>
        <d v="2026-01-20T22:27:00"/>
        <d v="2026-01-15T01:46:00"/>
        <d v="2026-01-09T20:50:00"/>
        <d v="2026-01-21T12:23:00"/>
        <d v="2026-01-05T19:43:00"/>
        <d v="2026-01-03T07:49:00"/>
        <d v="2026-01-13T18:02:00"/>
        <d v="2026-01-15T11:23:00"/>
        <d v="2026-01-05T16:23:00"/>
        <d v="2026-01-17T12:58:00"/>
        <d v="2026-01-25T08:45:00"/>
        <d v="2026-01-10T22:58:00"/>
        <d v="2026-01-05T02:28:00"/>
        <d v="2026-01-26T21:54:00"/>
        <d v="2026-01-03T17:34:00"/>
        <d v="2026-01-23T22:59:00"/>
        <d v="2026-01-17T07:07:00"/>
        <d v="2026-01-26T15:01:00"/>
        <d v="2026-01-12T14:51:00"/>
        <d v="2026-01-29T02:04:00"/>
        <d v="2026-01-24T15:33:00"/>
        <d v="2026-01-03T04:20:00"/>
        <d v="2026-01-15T21:33:00"/>
        <d v="2026-01-18T20:37:00"/>
        <d v="2026-01-17T01:53:00"/>
        <d v="2026-01-10T05:10:00"/>
        <d v="2026-01-17T09:54:00"/>
        <d v="2026-01-21T17:17:00"/>
        <d v="2026-01-18T02:32:00"/>
        <d v="2026-01-19T04:10:00"/>
        <d v="2026-01-29T19:21:00"/>
        <d v="2026-01-03T01:41:00"/>
        <d v="2026-01-07T18:26:00"/>
        <d v="2026-01-29T20:34:00"/>
        <d v="2026-01-08T21:25:00"/>
        <d v="2026-01-23T01:10:00"/>
        <d v="2026-01-15T06:21:00"/>
        <d v="2026-01-28T22:20:00"/>
        <d v="2026-01-25T11:32:00"/>
        <d v="2026-01-08T14:07:00"/>
        <d v="2026-01-05T03:03:00"/>
        <d v="2026-01-14T07:55:00"/>
        <d v="2026-01-24T10:12:00"/>
        <d v="2026-01-15T15:56:00"/>
        <d v="2026-01-03T12:32:00"/>
        <d v="2026-01-19T11:03:00"/>
        <d v="2026-01-20T20:43:00"/>
        <d v="2026-01-01T03:27:00"/>
        <d v="2026-01-12T12:23:00"/>
        <d v="2026-01-19T17:12:00"/>
        <d v="2026-01-27T19:43:00"/>
        <d v="2026-01-04T12:23:00"/>
        <d v="2026-01-25T04:12:00"/>
        <d v="2026-01-17T01:02:00"/>
        <d v="2026-01-11T15:33:00"/>
        <d v="2026-01-29T16:08:00"/>
        <d v="2026-01-06T12:39:00"/>
        <d v="2026-01-17T16:34:00"/>
        <d v="2026-01-16T00:23:00"/>
        <d v="2026-01-19T09:50:00"/>
        <d v="2026-01-16T08:41:00"/>
        <d v="2026-01-24T01:37:00"/>
        <d v="2026-01-21T23:39:00"/>
        <d v="2026-01-08T01:36:00"/>
        <d v="2026-01-15T10:26:00"/>
        <d v="2026-01-07T13:32:00"/>
        <d v="2026-01-24T01:45:00"/>
        <d v="2026-01-18T10:42:00"/>
        <d v="2026-01-11T05:29:00"/>
        <d v="2026-01-12T21:49:00"/>
        <d v="2026-01-16T06:15:00"/>
        <d v="2026-01-08T09:49:00"/>
        <d v="2026-01-23T15:20:00"/>
        <d v="2026-01-30T23:17:00"/>
        <d v="2026-01-22T17:24:00"/>
        <d v="2026-01-26T04:18:00"/>
        <d v="2026-01-03T11:59:00"/>
        <d v="2026-01-16T06:12:00"/>
        <d v="2026-01-23T08:08:00"/>
        <d v="2026-01-19T07:15:00"/>
        <d v="2026-01-21T07:03:00"/>
        <d v="2026-01-23T15:06:00"/>
        <d v="2026-01-18T05:26:00"/>
        <d v="2026-01-21T06:48:00"/>
        <d v="2026-01-21T01:58:00"/>
        <d v="2026-01-18T23:46:00"/>
        <d v="2026-01-29T05:59:00"/>
        <d v="2026-01-16T05:59:00"/>
        <d v="2026-01-10T18:38:00"/>
        <d v="2026-01-15T20:34:00"/>
        <d v="2026-01-28T16:29:00"/>
        <d v="2026-01-11T05:46:00"/>
        <d v="2026-01-06T00:47:00"/>
        <d v="2026-01-22T06:11:00"/>
        <d v="2026-01-17T10:05:00"/>
        <d v="2026-01-05T15:20:00"/>
        <d v="2026-01-13T07:28:00"/>
        <d v="2026-01-19T23:36:00"/>
        <d v="2026-01-12T22:15:00"/>
        <d v="2026-01-10T05:25:00"/>
        <d v="2026-01-04T20:58:00"/>
        <d v="2026-01-08T07:08:00"/>
        <d v="2026-01-24T19:23:00"/>
        <d v="2026-01-25T17:51:00"/>
        <d v="2026-01-08T21:48:00"/>
        <d v="2026-01-15T16:45:00"/>
        <d v="2026-01-04T01:53:00"/>
        <d v="2026-01-19T17:09:00"/>
        <d v="2026-01-15T03:43:00"/>
        <d v="2026-01-03T16:28:00"/>
        <d v="2026-01-17T13:29:00"/>
        <d v="2026-01-15T21:51:00"/>
        <d v="2026-01-09T00:47:00"/>
        <d v="2026-01-02T13:22:00"/>
        <d v="2026-01-30T02:59:00"/>
        <d v="2026-01-14T05:49:00"/>
        <d v="2026-01-29T12:28:00"/>
        <d v="2026-01-22T21:55:00"/>
        <d v="2026-01-28T11:07:00"/>
        <d v="2026-01-17T04:46:00"/>
        <d v="2026-01-01T09:29:00"/>
        <d v="2026-01-18T12:52:00"/>
        <d v="2026-01-12T04:17:00"/>
        <d v="2026-01-26T21:26:00"/>
        <d v="2026-01-07T02:06:00"/>
        <d v="2026-01-20T21:45:00"/>
        <d v="2026-01-02T12:28:00"/>
        <d v="2026-01-25T01:08:00"/>
        <d v="2026-01-27T23:36:00"/>
        <d v="2026-01-25T21:52:00"/>
        <d v="2026-01-29T04:42:00"/>
        <d v="2026-01-10T08:03:00"/>
        <d v="2026-01-30T05:40:00"/>
        <d v="2026-01-16T01:22:00"/>
        <d v="2026-01-17T10:44:00"/>
        <d v="2026-01-10T12:11:00"/>
        <d v="2026-01-28T07:19:00"/>
        <d v="2026-01-18T13:26:00"/>
        <d v="2026-01-13T07:16:00"/>
        <d v="2026-01-03T14:54:00"/>
        <d v="2026-01-24T06:03:00"/>
        <d v="2026-01-20T19:02:00"/>
        <d v="2026-01-19T23:42:00"/>
        <d v="2026-01-07T10:19:00"/>
        <d v="2026-01-24T03:47:00"/>
        <d v="2026-01-20T22:13:00"/>
        <d v="2026-01-11T09:24:00"/>
        <d v="2026-01-12T09:16:00"/>
        <d v="2026-01-15T03:51:00"/>
        <d v="2026-01-12T10:26:00"/>
        <d v="2026-01-24T04:01:00"/>
        <d v="2026-01-19T23:26:00"/>
        <d v="2026-01-11T07:24:00"/>
        <d v="2026-01-18T20:43:00"/>
        <d v="2026-01-27T15:46:00"/>
        <d v="2026-01-06T23:50:00"/>
        <d v="2026-01-24T17:31:00"/>
        <d v="2026-01-02T16:02:00"/>
        <d v="2026-01-01T13:08:00"/>
        <d v="2026-01-23T04:00:00"/>
        <d v="2026-01-12T01:39:00"/>
        <d v="2026-01-22T15:01:00"/>
        <d v="2026-01-14T00:01:00"/>
        <d v="2026-01-10T00:32:00"/>
        <d v="2026-01-04T03:33:00"/>
        <d v="2026-01-20T16:16:00"/>
        <d v="2026-01-03T11:25:00"/>
        <d v="2026-01-13T12:24:00"/>
        <d v="2026-01-21T00:44:00"/>
        <d v="2026-01-28T13:41:00"/>
        <d v="2026-01-29T16:58:00"/>
        <d v="2026-01-29T22:56:00"/>
        <d v="2026-01-02T02:43:00"/>
        <d v="2026-01-22T01:11:00"/>
        <d v="2026-01-19T04:48:00"/>
        <d v="2026-01-06T18:15:00"/>
        <d v="2026-01-29T17:21:00"/>
        <d v="2026-01-24T02:32:00"/>
        <d v="2026-01-14T07:53:00"/>
        <d v="2026-01-25T19:38:00"/>
        <d v="2026-01-21T08:50:00"/>
        <d v="2026-01-12T17:24:00"/>
        <d v="2026-01-19T21:24:00"/>
        <d v="2026-01-26T07:45:00"/>
        <d v="2026-01-05T12:45:00"/>
        <d v="2026-01-13T10:23:00"/>
        <d v="2026-01-10T14:23:00"/>
        <d v="2026-01-03T05:27:00"/>
        <d v="2026-01-17T13:06:00"/>
        <d v="2026-01-18T02:38:00"/>
        <d v="2026-01-01T09:26:00"/>
        <d v="2026-01-29T17:57:00"/>
        <d v="2026-01-06T21:24:00"/>
        <d v="2026-01-10T08:31:00"/>
        <d v="2026-01-14T08:26:00"/>
        <d v="2026-01-03T11:16:00"/>
        <d v="2026-01-30T06:00:00"/>
        <d v="2026-01-11T12:00:00"/>
        <d v="2026-01-21T14:00:00"/>
        <d v="2026-01-21T19:00:00"/>
        <d v="2026-01-16T12:00:00"/>
        <d v="2026-01-29T07:00:00"/>
        <d v="2026-01-23T11:00:00"/>
        <d v="2026-01-28T05:00:00"/>
        <d v="2026-01-25T22:00:00"/>
        <d v="2026-01-13T13:00:00"/>
        <d v="2026-01-20T07:00:00"/>
        <d v="2026-01-23T02:00:00"/>
        <d v="2026-01-23T17:00:00"/>
        <d v="2026-01-22T22:00:00"/>
        <d v="2026-01-18T21:00:00"/>
        <d v="2026-01-02T18:00:00"/>
        <d v="2026-01-02T18:01:00"/>
        <d v="2026-01-02T18:02:00"/>
        <d v="2026-01-02T18:03:00"/>
        <d v="2026-01-12T12:00:00"/>
        <d v="2026-01-12T12:01:00"/>
        <d v="2026-01-12T12:02:00"/>
        <d v="2026-01-12T12:03:00"/>
        <d v="2026-01-12T09:00:00"/>
        <d v="2026-01-12T09:01:00"/>
        <d v="2026-01-12T09:02:00"/>
        <d v="2026-01-12T09:03:00"/>
        <d v="2026-01-02T22:00:00"/>
        <d v="2026-01-02T22:01:00"/>
        <d v="2026-01-02T22:02:00"/>
        <d v="2026-01-02T22:03:00"/>
        <d v="2026-01-14T14:00:00"/>
        <d v="2026-01-14T14:01:00"/>
        <d v="2026-01-14T14:02:00"/>
        <d v="2026-01-14T14:03:00"/>
        <d v="2026-01-01T22:00:00"/>
        <d v="2026-01-01T22:01:00"/>
        <d v="2026-01-01T22:02:00"/>
        <d v="2026-01-01T22:03:00"/>
        <d v="2026-01-09T21:00:00"/>
        <d v="2026-01-09T21:01:00"/>
        <d v="2026-01-09T21:02:00"/>
        <d v="2026-01-09T21:03:00"/>
        <d v="2026-01-23T09:00:00"/>
        <d v="2026-01-23T09:01:00"/>
        <d v="2026-01-23T09:02:00"/>
        <d v="2026-01-23T09:03:00"/>
      </sharedItems>
      <fieldGroup par="14"/>
    </cacheField>
    <cacheField name="amount_inr" numFmtId="0">
      <sharedItems containsSemiMixedTypes="0" containsString="0" containsNumber="1" containsInteger="1" minValue="49" maxValue="4999"/>
    </cacheField>
    <cacheField name="payment_method" numFmtId="0">
      <sharedItems/>
    </cacheField>
    <cacheField name="status" numFmtId="0">
      <sharedItems/>
    </cacheField>
    <cacheField name="risk_score" numFmtId="0">
      <sharedItems containsSemiMixedTypes="0" containsString="0" containsNumber="1" containsInteger="1" minValue="0" maxValue="100"/>
    </cacheField>
    <cacheField name="merchant_name" numFmtId="0">
      <sharedItems/>
    </cacheField>
    <cacheField name="category" numFmtId="0">
      <sharedItems/>
    </cacheField>
    <cacheField name="region" numFmtId="0">
      <sharedItems/>
    </cacheField>
    <cacheField name="MDR Fee %" numFmtId="10">
      <sharedItems containsSemiMixedTypes="0" containsString="0" containsNumber="1" minValue="2E-3" maxValue="1.4999999999999999E-2"/>
    </cacheField>
    <cacheField name="Days (transaction_time)" numFmtId="0" databaseField="0">
      <fieldGroup base="3">
        <rangePr groupBy="days" startDate="2026-01-01T02:14:00" endDate="2026-01-30T23:17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0-01-2026"/>
        </groupItems>
      </fieldGroup>
    </cacheField>
    <cacheField name="Months (transaction_time)" numFmtId="0" databaseField="0">
      <fieldGroup base="3">
        <rangePr groupBy="months" startDate="2026-01-01T02:14:00" endDate="2026-01-30T23:17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01-2026"/>
        </groupItems>
      </fieldGroup>
    </cacheField>
    <cacheField name="Years (transaction_time)" numFmtId="0" databaseField="0">
      <fieldGroup base="3">
        <rangePr groupBy="years" startDate="2026-01-01T02:14:00" endDate="2026-01-30T23:17:00"/>
        <groupItems count="3">
          <s v="&lt;01-01-2026"/>
          <s v="2026"/>
          <s v="&gt;30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51.894987500003" createdVersion="8" refreshedVersion="8" minRefreshableVersion="3" recordCount="547" xr:uid="{79DD9BE2-1086-4705-BBC4-4ADC81352622}">
  <cacheSource type="worksheet">
    <worksheetSource ref="A1:N548" sheet="Transactions_View"/>
  </cacheSource>
  <cacheFields count="14">
    <cacheField name="transaction_id" numFmtId="0">
      <sharedItems/>
    </cacheField>
    <cacheField name="user_id" numFmtId="0">
      <sharedItems containsSemiMixedTypes="0" containsString="0" containsNumber="1" containsInteger="1" minValue="1" maxValue="365"/>
    </cacheField>
    <cacheField name="merchant_id" numFmtId="0">
      <sharedItems containsSemiMixedTypes="0" containsString="0" containsNumber="1" containsInteger="1" minValue="1" maxValue="40" count="40">
        <n v="16"/>
        <n v="27"/>
        <n v="11"/>
        <n v="22"/>
        <n v="3"/>
        <n v="23"/>
        <n v="13"/>
        <n v="18"/>
        <n v="35"/>
        <n v="12"/>
        <n v="28"/>
        <n v="33"/>
        <n v="40"/>
        <n v="19"/>
        <n v="25"/>
        <n v="20"/>
        <n v="14"/>
        <n v="21"/>
        <n v="6"/>
        <n v="15"/>
        <n v="31"/>
        <n v="37"/>
        <n v="26"/>
        <n v="7"/>
        <n v="30"/>
        <n v="36"/>
        <n v="29"/>
        <n v="2"/>
        <n v="17"/>
        <n v="4"/>
        <n v="8"/>
        <n v="24"/>
        <n v="5"/>
        <n v="32"/>
        <n v="10"/>
        <n v="38"/>
        <n v="34"/>
        <n v="1"/>
        <n v="39"/>
        <n v="9"/>
      </sharedItems>
    </cacheField>
    <cacheField name="transaction_time" numFmtId="22">
      <sharedItems containsSemiMixedTypes="0" containsNonDate="0" containsDate="1" containsString="0" minDate="2026-01-01T02:14:00" maxDate="2026-01-30T23:17:00"/>
    </cacheField>
    <cacheField name="amount_inr" numFmtId="0">
      <sharedItems containsSemiMixedTypes="0" containsString="0" containsNumber="1" containsInteger="1" minValue="49" maxValue="4999"/>
    </cacheField>
    <cacheField name="payment_method" numFmtId="0">
      <sharedItems/>
    </cacheField>
    <cacheField name="status" numFmtId="0">
      <sharedItems count="3">
        <s v="captured"/>
        <s v="failed"/>
        <s v="chargeback"/>
      </sharedItems>
    </cacheField>
    <cacheField name="risk_score" numFmtId="0">
      <sharedItems containsSemiMixedTypes="0" containsString="0" containsNumber="1" containsInteger="1" minValue="0" maxValue="100"/>
    </cacheField>
    <cacheField name="merchant_name" numFmtId="0">
      <sharedItems/>
    </cacheField>
    <cacheField name="category" numFmtId="0">
      <sharedItems/>
    </cacheField>
    <cacheField name="region" numFmtId="0">
      <sharedItems/>
    </cacheField>
    <cacheField name="MDR Fee %" numFmtId="10">
      <sharedItems containsSemiMixedTypes="0" containsString="0" containsNumber="1" minValue="2E-3" maxValue="1.4999999999999999E-2"/>
    </cacheField>
    <cacheField name="Daily Merchant Total" numFmtId="0">
      <sharedItems containsSemiMixedTypes="0" containsString="0" containsNumber="1" containsInteger="1" minValue="49" maxValue="9796"/>
    </cacheField>
    <cacheField name="Merchant Day Classifi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251.902099074076" backgroundQuery="1" createdVersion="8" refreshedVersion="8" minRefreshableVersion="3" recordCount="0" supportSubquery="1" supportAdvancedDrill="1" xr:uid="{BBA3B77B-6A76-4D3B-9488-DD527A59F21A}">
  <cacheSource type="external" connectionId="1"/>
  <cacheFields count="3">
    <cacheField name="[Range].[merchant_id].[merchant_id]" caption="merchant_id" numFmtId="0" hierarchy="2" level="1">
      <sharedItems containsSemiMixedTypes="0" containsString="0" containsNumber="1" containsInteger="1" minValue="1" maxValue="40" count="4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</sharedItems>
      <extLst>
        <ext xmlns:x15="http://schemas.microsoft.com/office/spreadsheetml/2010/11/main" uri="{4F2E5C28-24EA-4eb8-9CBF-B6C8F9C3D259}">
          <x15:cachedUniqueNames>
            <x15:cachedUniqueName index="0" name="[Range].[merchant_id].&amp;[1]"/>
            <x15:cachedUniqueName index="1" name="[Range].[merchant_id].&amp;[2]"/>
            <x15:cachedUniqueName index="2" name="[Range].[merchant_id].&amp;[3]"/>
            <x15:cachedUniqueName index="3" name="[Range].[merchant_id].&amp;[4]"/>
            <x15:cachedUniqueName index="4" name="[Range].[merchant_id].&amp;[5]"/>
            <x15:cachedUniqueName index="5" name="[Range].[merchant_id].&amp;[6]"/>
            <x15:cachedUniqueName index="6" name="[Range].[merchant_id].&amp;[7]"/>
            <x15:cachedUniqueName index="7" name="[Range].[merchant_id].&amp;[8]"/>
            <x15:cachedUniqueName index="8" name="[Range].[merchant_id].&amp;[9]"/>
            <x15:cachedUniqueName index="9" name="[Range].[merchant_id].&amp;[10]"/>
            <x15:cachedUniqueName index="10" name="[Range].[merchant_id].&amp;[11]"/>
            <x15:cachedUniqueName index="11" name="[Range].[merchant_id].&amp;[12]"/>
            <x15:cachedUniqueName index="12" name="[Range].[merchant_id].&amp;[13]"/>
            <x15:cachedUniqueName index="13" name="[Range].[merchant_id].&amp;[14]"/>
            <x15:cachedUniqueName index="14" name="[Range].[merchant_id].&amp;[15]"/>
            <x15:cachedUniqueName index="15" name="[Range].[merchant_id].&amp;[16]"/>
            <x15:cachedUniqueName index="16" name="[Range].[merchant_id].&amp;[17]"/>
            <x15:cachedUniqueName index="17" name="[Range].[merchant_id].&amp;[18]"/>
            <x15:cachedUniqueName index="18" name="[Range].[merchant_id].&amp;[19]"/>
            <x15:cachedUniqueName index="19" name="[Range].[merchant_id].&amp;[20]"/>
            <x15:cachedUniqueName index="20" name="[Range].[merchant_id].&amp;[21]"/>
            <x15:cachedUniqueName index="21" name="[Range].[merchant_id].&amp;[22]"/>
            <x15:cachedUniqueName index="22" name="[Range].[merchant_id].&amp;[23]"/>
            <x15:cachedUniqueName index="23" name="[Range].[merchant_id].&amp;[24]"/>
            <x15:cachedUniqueName index="24" name="[Range].[merchant_id].&amp;[25]"/>
            <x15:cachedUniqueName index="25" name="[Range].[merchant_id].&amp;[26]"/>
            <x15:cachedUniqueName index="26" name="[Range].[merchant_id].&amp;[27]"/>
            <x15:cachedUniqueName index="27" name="[Range].[merchant_id].&amp;[28]"/>
            <x15:cachedUniqueName index="28" name="[Range].[merchant_id].&amp;[29]"/>
            <x15:cachedUniqueName index="29" name="[Range].[merchant_id].&amp;[30]"/>
            <x15:cachedUniqueName index="30" name="[Range].[merchant_id].&amp;[31]"/>
            <x15:cachedUniqueName index="31" name="[Range].[merchant_id].&amp;[32]"/>
            <x15:cachedUniqueName index="32" name="[Range].[merchant_id].&amp;[33]"/>
            <x15:cachedUniqueName index="33" name="[Range].[merchant_id].&amp;[34]"/>
            <x15:cachedUniqueName index="34" name="[Range].[merchant_id].&amp;[35]"/>
            <x15:cachedUniqueName index="35" name="[Range].[merchant_id].&amp;[36]"/>
            <x15:cachedUniqueName index="36" name="[Range].[merchant_id].&amp;[37]"/>
            <x15:cachedUniqueName index="37" name="[Range].[merchant_id].&amp;[38]"/>
            <x15:cachedUniqueName index="38" name="[Range].[merchant_id].&amp;[39]"/>
            <x15:cachedUniqueName index="39" name="[Range].[merchant_id].&amp;[40]"/>
          </x15:cachedUniqueNames>
        </ext>
      </extLst>
    </cacheField>
    <cacheField name="[Measures].[Count of transaction_id]" caption="Count of transaction_id" numFmtId="0" hierarchy="17" level="32767"/>
    <cacheField name="[Measures].[Distinct Count of transaction_date]" caption="Distinct Count of transaction_date" numFmtId="0" hierarchy="19" level="32767"/>
  </cacheFields>
  <cacheHierarchies count="20">
    <cacheHierarchy uniqueName="[Range].[transaction_id]" caption="transaction_id" attribute="1" defaultMemberUniqueName="[Range].[transaction_id].[All]" allUniqueName="[Range].[transaction_id].[All]" dimensionUniqueName="[Range]" displayFolder="" count="0" memberValueDatatype="130" unbalanced="0"/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merchant_id]" caption="merchant_id" attribute="1" defaultMemberUniqueName="[Range].[merchant_id].[All]" allUniqueName="[Range].[merchant_id].[All]" dimensionUniqueName="[Range]" displayFolder="" count="2" memberValueDatatype="20" unbalanced="0">
      <fieldsUsage count="2">
        <fieldUsage x="-1"/>
        <fieldUsage x="0"/>
      </fieldsUsage>
    </cacheHierarchy>
    <cacheHierarchy uniqueName="[Range].[transaction_time]" caption="transaction_time" attribute="1" time="1" defaultMemberUniqueName="[Range].[transaction_time].[All]" allUniqueName="[Range].[transaction_time].[All]" dimensionUniqueName="[Range]" displayFolder="" count="0" memberValueDatatype="7" unbalanced="0"/>
    <cacheHierarchy uniqueName="[Range].[amount_inr]" caption="amount_inr" attribute="1" defaultMemberUniqueName="[Range].[amount_inr].[All]" allUniqueName="[Range].[amount_inr].[All]" dimensionUniqueName="[Range]" displayFolder="" count="0" memberValueDatatype="2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status]" caption="status" attribute="1" defaultMemberUniqueName="[Range].[status].[All]" allUniqueName="[Range].[status].[All]" dimensionUniqueName="[Range]" displayFolder="" count="0" memberValueDatatype="130" unbalanced="0"/>
    <cacheHierarchy uniqueName="[Range].[risk_score]" caption="risk_score" attribute="1" defaultMemberUniqueName="[Range].[risk_score].[All]" allUniqueName="[Range].[risk_score].[All]" dimensionUniqueName="[Range]" displayFolder="" count="0" memberValueDatatype="20" unbalanced="0"/>
    <cacheHierarchy uniqueName="[Range].[merchant_name]" caption="merchant_name" attribute="1" defaultMemberUniqueName="[Range].[merchant_name].[All]" allUniqueName="[Range].[merchant_nam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MDR Fee %]" caption="MDR Fee %" attribute="1" defaultMemberUniqueName="[Range].[MDR Fee %].[All]" allUniqueName="[Range].[MDR Fee %].[All]" dimensionUniqueName="[Range]" displayFolder="" count="0" memberValueDatatype="5" unbalanced="0"/>
    <cacheHierarchy uniqueName="[Range].[Daily Merchant Total]" caption="Daily Merchant Total" attribute="1" defaultMemberUniqueName="[Range].[Daily Merchant Total].[All]" allUniqueName="[Range].[Daily Merchant Total].[All]" dimensionUniqueName="[Range]" displayFolder="" count="0" memberValueDatatype="20" unbalanced="0"/>
    <cacheHierarchy uniqueName="[Range].[Merchant Day Classification]" caption="Merchant Day Classification" attribute="1" defaultMemberUniqueName="[Range].[Merchant Day Classification].[All]" allUniqueName="[Range].[Merchant Day Classification].[All]" dimensionUniqueName="[Range]" displayFolder="" count="0" memberValueDatatype="130" unbalanced="0"/>
    <cacheHierarchy uniqueName="[Range].[transaction_date]" caption="transaction_date" attribute="1" time="1" defaultMemberUniqueName="[Range].[transaction_date].[All]" allUniqueName="[Range].[transaction_date].[All]" dimensionUniqueName="[Range]" displayFolder="" count="0" memberValueDatatype="7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transaction_id]" caption="Count of transaction_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_date]" caption="Count of transaction_date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Distinct Count of transaction_date]" caption="Distinct Count of transaction_dat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7">
  <r>
    <s v="TXN100000"/>
    <n v="350"/>
    <x v="0"/>
    <x v="0"/>
    <n v="2999"/>
    <s v="Wallet"/>
    <s v="captured"/>
    <n v="85"/>
    <s v="Merchant_016"/>
    <s v="bill_payment"/>
    <s v="West"/>
    <n v="6.4999999999999997E-3"/>
  </r>
  <r>
    <s v="TXN100001"/>
    <n v="287"/>
    <x v="1"/>
    <x v="1"/>
    <n v="49"/>
    <s v="UPI"/>
    <s v="captured"/>
    <n v="79"/>
    <s v="Merchant_027"/>
    <s v="ecommerce"/>
    <s v="North"/>
    <n v="2E-3"/>
  </r>
  <r>
    <s v="TXN100002"/>
    <n v="122"/>
    <x v="2"/>
    <x v="2"/>
    <n v="1499"/>
    <s v="Wallet"/>
    <s v="captured"/>
    <n v="22"/>
    <s v="Merchant_011"/>
    <s v="ecommerce"/>
    <s v="North"/>
    <n v="6.4999999999999997E-3"/>
  </r>
  <r>
    <s v="TXN100003"/>
    <n v="92"/>
    <x v="3"/>
    <x v="3"/>
    <n v="49"/>
    <s v="Netbanking"/>
    <s v="captured"/>
    <n v="100"/>
    <s v="Merchant_022"/>
    <s v="travel"/>
    <s v="South"/>
    <n v="0.01"/>
  </r>
  <r>
    <s v="TXN100004"/>
    <n v="343"/>
    <x v="0"/>
    <x v="4"/>
    <n v="99"/>
    <s v="UPI"/>
    <s v="captured"/>
    <n v="34"/>
    <s v="Merchant_016"/>
    <s v="bill_payment"/>
    <s v="West"/>
    <n v="2E-3"/>
  </r>
  <r>
    <s v="TXN100005"/>
    <n v="196"/>
    <x v="4"/>
    <x v="5"/>
    <n v="99"/>
    <s v="UPI"/>
    <s v="captured"/>
    <n v="60"/>
    <s v="Merchant_003"/>
    <s v="grocery"/>
    <s v="East"/>
    <n v="2E-3"/>
  </r>
  <r>
    <s v="TXN100006"/>
    <n v="236"/>
    <x v="5"/>
    <x v="6"/>
    <n v="99"/>
    <s v="Wallet"/>
    <s v="captured"/>
    <n v="39"/>
    <s v="Merchant_023"/>
    <s v="travel"/>
    <s v="North"/>
    <n v="6.4999999999999997E-3"/>
  </r>
  <r>
    <s v="TXN100007"/>
    <n v="13"/>
    <x v="6"/>
    <x v="7"/>
    <n v="99"/>
    <s v="UPI"/>
    <s v="captured"/>
    <n v="51"/>
    <s v="Merchant_013"/>
    <s v="travel"/>
    <s v="East"/>
    <n v="2E-3"/>
  </r>
  <r>
    <s v="TXN100008"/>
    <n v="36"/>
    <x v="7"/>
    <x v="8"/>
    <n v="799"/>
    <s v="UPI"/>
    <s v="captured"/>
    <n v="44"/>
    <s v="Merchant_018"/>
    <s v="grocery"/>
    <s v="West"/>
    <n v="2E-3"/>
  </r>
  <r>
    <s v="TXN100009"/>
    <n v="348"/>
    <x v="8"/>
    <x v="9"/>
    <n v="299"/>
    <s v="UPI"/>
    <s v="captured"/>
    <n v="42"/>
    <s v="Merchant_035"/>
    <s v="recharge"/>
    <s v="East"/>
    <n v="2E-3"/>
  </r>
  <r>
    <s v="TXN100010"/>
    <n v="134"/>
    <x v="9"/>
    <x v="10"/>
    <n v="49"/>
    <s v="UPI"/>
    <s v="captured"/>
    <n v="74"/>
    <s v="Merchant_012"/>
    <s v="ecommerce"/>
    <s v="East"/>
    <n v="2E-3"/>
  </r>
  <r>
    <s v="TXN100011"/>
    <n v="306"/>
    <x v="10"/>
    <x v="11"/>
    <n v="2999"/>
    <s v="Card"/>
    <s v="failed"/>
    <n v="44"/>
    <s v="Merchant_028"/>
    <s v="ecommerce"/>
    <s v="South"/>
    <n v="1.4999999999999999E-2"/>
  </r>
  <r>
    <s v="TXN100012"/>
    <n v="311"/>
    <x v="11"/>
    <x v="12"/>
    <n v="49"/>
    <s v="Wallet"/>
    <s v="captured"/>
    <n v="14"/>
    <s v="Merchant_033"/>
    <s v="bill_payment"/>
    <s v="East"/>
    <n v="6.4999999999999997E-3"/>
  </r>
  <r>
    <s v="TXN100013"/>
    <n v="131"/>
    <x v="4"/>
    <x v="13"/>
    <n v="49"/>
    <s v="UPI"/>
    <s v="captured"/>
    <n v="90"/>
    <s v="Merchant_003"/>
    <s v="grocery"/>
    <s v="East"/>
    <n v="2E-3"/>
  </r>
  <r>
    <s v="TXN100014"/>
    <n v="276"/>
    <x v="6"/>
    <x v="14"/>
    <n v="1499"/>
    <s v="UPI"/>
    <s v="captured"/>
    <n v="46"/>
    <s v="Merchant_013"/>
    <s v="travel"/>
    <s v="East"/>
    <n v="2E-3"/>
  </r>
  <r>
    <s v="TXN100015"/>
    <n v="170"/>
    <x v="12"/>
    <x v="15"/>
    <n v="99"/>
    <s v="UPI"/>
    <s v="captured"/>
    <n v="40"/>
    <s v="Merchant_040"/>
    <s v="entertainment"/>
    <s v="South"/>
    <n v="2E-3"/>
  </r>
  <r>
    <s v="TXN100016"/>
    <n v="154"/>
    <x v="11"/>
    <x v="16"/>
    <n v="99"/>
    <s v="Netbanking"/>
    <s v="captured"/>
    <n v="39"/>
    <s v="Merchant_033"/>
    <s v="bill_payment"/>
    <s v="East"/>
    <n v="0.01"/>
  </r>
  <r>
    <s v="TXN100017"/>
    <n v="207"/>
    <x v="13"/>
    <x v="17"/>
    <n v="2999"/>
    <s v="Card"/>
    <s v="captured"/>
    <n v="70"/>
    <s v="Merchant_019"/>
    <s v="grocery"/>
    <s v="North"/>
    <n v="1.4999999999999999E-2"/>
  </r>
  <r>
    <s v="TXN100018"/>
    <n v="341"/>
    <x v="14"/>
    <x v="18"/>
    <n v="2999"/>
    <s v="UPI"/>
    <s v="captured"/>
    <n v="86"/>
    <s v="Merchant_025"/>
    <s v="travel"/>
    <s v="South"/>
    <n v="2E-3"/>
  </r>
  <r>
    <s v="TXN100019"/>
    <n v="292"/>
    <x v="15"/>
    <x v="19"/>
    <n v="49"/>
    <s v="UPI"/>
    <s v="captured"/>
    <n v="51"/>
    <s v="Merchant_020"/>
    <s v="food_delivery"/>
    <s v="East"/>
    <n v="2E-3"/>
  </r>
  <r>
    <s v="TXN100020"/>
    <n v="147"/>
    <x v="16"/>
    <x v="20"/>
    <n v="99"/>
    <s v="Card"/>
    <s v="captured"/>
    <n v="55"/>
    <s v="Merchant_014"/>
    <s v="grocery"/>
    <s v="East"/>
    <n v="1.4999999999999999E-2"/>
  </r>
  <r>
    <s v="TXN100021"/>
    <n v="336"/>
    <x v="17"/>
    <x v="21"/>
    <n v="99"/>
    <s v="UPI"/>
    <s v="captured"/>
    <n v="59"/>
    <s v="Merchant_021"/>
    <s v="food_delivery"/>
    <s v="East"/>
    <n v="2E-3"/>
  </r>
  <r>
    <s v="TXN100022"/>
    <n v="110"/>
    <x v="11"/>
    <x v="22"/>
    <n v="799"/>
    <s v="UPI"/>
    <s v="captured"/>
    <n v="60"/>
    <s v="Merchant_033"/>
    <s v="bill_payment"/>
    <s v="East"/>
    <n v="2E-3"/>
  </r>
  <r>
    <s v="TXN100023"/>
    <n v="338"/>
    <x v="18"/>
    <x v="23"/>
    <n v="799"/>
    <s v="UPI"/>
    <s v="chargeback"/>
    <n v="36"/>
    <s v="Merchant_006"/>
    <s v="food_delivery"/>
    <s v="South"/>
    <n v="2E-3"/>
  </r>
  <r>
    <s v="TXN100024"/>
    <n v="318"/>
    <x v="3"/>
    <x v="24"/>
    <n v="799"/>
    <s v="Wallet"/>
    <s v="captured"/>
    <n v="11"/>
    <s v="Merchant_022"/>
    <s v="travel"/>
    <s v="South"/>
    <n v="6.4999999999999997E-3"/>
  </r>
  <r>
    <s v="TXN100025"/>
    <n v="159"/>
    <x v="19"/>
    <x v="25"/>
    <n v="799"/>
    <s v="UPI"/>
    <s v="captured"/>
    <n v="25"/>
    <s v="Merchant_015"/>
    <s v="travel"/>
    <s v="North"/>
    <n v="2E-3"/>
  </r>
  <r>
    <s v="TXN100026"/>
    <n v="126"/>
    <x v="20"/>
    <x v="26"/>
    <n v="49"/>
    <s v="Card"/>
    <s v="captured"/>
    <n v="78"/>
    <s v="Merchant_031"/>
    <s v="bill_payment"/>
    <s v="East"/>
    <n v="1.4999999999999999E-2"/>
  </r>
  <r>
    <s v="TXN100027"/>
    <n v="213"/>
    <x v="21"/>
    <x v="27"/>
    <n v="99"/>
    <s v="UPI"/>
    <s v="captured"/>
    <n v="24"/>
    <s v="Merchant_037"/>
    <s v="entertainment"/>
    <s v="South"/>
    <n v="2E-3"/>
  </r>
  <r>
    <s v="TXN100028"/>
    <n v="254"/>
    <x v="22"/>
    <x v="28"/>
    <n v="99"/>
    <s v="Wallet"/>
    <s v="captured"/>
    <n v="31"/>
    <s v="Merchant_026"/>
    <s v="food_delivery"/>
    <s v="East"/>
    <n v="6.4999999999999997E-3"/>
  </r>
  <r>
    <s v="TXN100029"/>
    <n v="3"/>
    <x v="23"/>
    <x v="29"/>
    <n v="1499"/>
    <s v="UPI"/>
    <s v="captured"/>
    <n v="99"/>
    <s v="Merchant_007"/>
    <s v="food_delivery"/>
    <s v="East"/>
    <n v="2E-3"/>
  </r>
  <r>
    <s v="TXN100030"/>
    <n v="266"/>
    <x v="24"/>
    <x v="30"/>
    <n v="499"/>
    <s v="Card"/>
    <s v="captured"/>
    <n v="6"/>
    <s v="Merchant_030"/>
    <s v="travel"/>
    <s v="West"/>
    <n v="1.4999999999999999E-2"/>
  </r>
  <r>
    <s v="TXN100031"/>
    <n v="63"/>
    <x v="24"/>
    <x v="31"/>
    <n v="799"/>
    <s v="UPI"/>
    <s v="captured"/>
    <n v="17"/>
    <s v="Merchant_030"/>
    <s v="travel"/>
    <s v="West"/>
    <n v="2E-3"/>
  </r>
  <r>
    <s v="TXN100032"/>
    <n v="272"/>
    <x v="25"/>
    <x v="32"/>
    <n v="149"/>
    <s v="UPI"/>
    <s v="captured"/>
    <n v="76"/>
    <s v="Merchant_036"/>
    <s v="entertainment"/>
    <s v="East"/>
    <n v="2E-3"/>
  </r>
  <r>
    <s v="TXN100033"/>
    <n v="259"/>
    <x v="10"/>
    <x v="33"/>
    <n v="49"/>
    <s v="Wallet"/>
    <s v="captured"/>
    <n v="70"/>
    <s v="Merchant_028"/>
    <s v="ecommerce"/>
    <s v="South"/>
    <n v="6.4999999999999997E-3"/>
  </r>
  <r>
    <s v="TXN100034"/>
    <n v="244"/>
    <x v="26"/>
    <x v="34"/>
    <n v="299"/>
    <s v="Netbanking"/>
    <s v="captured"/>
    <n v="33"/>
    <s v="Merchant_029"/>
    <s v="ecommerce"/>
    <s v="North"/>
    <n v="0.01"/>
  </r>
  <r>
    <s v="TXN100035"/>
    <n v="327"/>
    <x v="7"/>
    <x v="35"/>
    <n v="149"/>
    <s v="Card"/>
    <s v="captured"/>
    <n v="98"/>
    <s v="Merchant_018"/>
    <s v="grocery"/>
    <s v="West"/>
    <n v="1.4999999999999999E-2"/>
  </r>
  <r>
    <s v="TXN100036"/>
    <n v="321"/>
    <x v="0"/>
    <x v="36"/>
    <n v="49"/>
    <s v="UPI"/>
    <s v="captured"/>
    <n v="35"/>
    <s v="Merchant_016"/>
    <s v="bill_payment"/>
    <s v="West"/>
    <n v="2E-3"/>
  </r>
  <r>
    <s v="TXN100037"/>
    <n v="147"/>
    <x v="0"/>
    <x v="37"/>
    <n v="2999"/>
    <s v="Card"/>
    <s v="captured"/>
    <n v="34"/>
    <s v="Merchant_016"/>
    <s v="bill_payment"/>
    <s v="West"/>
    <n v="1.4999999999999999E-2"/>
  </r>
  <r>
    <s v="TXN100038"/>
    <n v="277"/>
    <x v="18"/>
    <x v="38"/>
    <n v="1499"/>
    <s v="Card"/>
    <s v="captured"/>
    <n v="17"/>
    <s v="Merchant_006"/>
    <s v="food_delivery"/>
    <s v="South"/>
    <n v="1.4999999999999999E-2"/>
  </r>
  <r>
    <s v="TXN100039"/>
    <n v="79"/>
    <x v="16"/>
    <x v="39"/>
    <n v="1499"/>
    <s v="UPI"/>
    <s v="captured"/>
    <n v="8"/>
    <s v="Merchant_014"/>
    <s v="grocery"/>
    <s v="East"/>
    <n v="2E-3"/>
  </r>
  <r>
    <s v="TXN100040"/>
    <n v="278"/>
    <x v="24"/>
    <x v="40"/>
    <n v="1499"/>
    <s v="UPI"/>
    <s v="captured"/>
    <n v="53"/>
    <s v="Merchant_030"/>
    <s v="travel"/>
    <s v="West"/>
    <n v="2E-3"/>
  </r>
  <r>
    <s v="TXN100041"/>
    <n v="216"/>
    <x v="14"/>
    <x v="41"/>
    <n v="99"/>
    <s v="UPI"/>
    <s v="captured"/>
    <n v="98"/>
    <s v="Merchant_025"/>
    <s v="travel"/>
    <s v="South"/>
    <n v="2E-3"/>
  </r>
  <r>
    <s v="TXN100042"/>
    <n v="295"/>
    <x v="14"/>
    <x v="42"/>
    <n v="1499"/>
    <s v="UPI"/>
    <s v="captured"/>
    <n v="61"/>
    <s v="Merchant_025"/>
    <s v="travel"/>
    <s v="South"/>
    <n v="2E-3"/>
  </r>
  <r>
    <s v="TXN100043"/>
    <n v="200"/>
    <x v="1"/>
    <x v="43"/>
    <n v="149"/>
    <s v="UPI"/>
    <s v="captured"/>
    <n v="68"/>
    <s v="Merchant_027"/>
    <s v="ecommerce"/>
    <s v="North"/>
    <n v="2E-3"/>
  </r>
  <r>
    <s v="TXN100044"/>
    <n v="309"/>
    <x v="19"/>
    <x v="44"/>
    <n v="99"/>
    <s v="Netbanking"/>
    <s v="captured"/>
    <n v="62"/>
    <s v="Merchant_015"/>
    <s v="travel"/>
    <s v="North"/>
    <n v="0.01"/>
  </r>
  <r>
    <s v="TXN100045"/>
    <n v="249"/>
    <x v="27"/>
    <x v="45"/>
    <n v="299"/>
    <s v="Wallet"/>
    <s v="captured"/>
    <n v="49"/>
    <s v="Merchant_002"/>
    <s v="grocery"/>
    <s v="West"/>
    <n v="6.4999999999999997E-3"/>
  </r>
  <r>
    <s v="TXN100046"/>
    <n v="208"/>
    <x v="2"/>
    <x v="46"/>
    <n v="4999"/>
    <s v="Netbanking"/>
    <s v="captured"/>
    <n v="59"/>
    <s v="Merchant_011"/>
    <s v="ecommerce"/>
    <s v="North"/>
    <n v="0.01"/>
  </r>
  <r>
    <s v="TXN100047"/>
    <n v="274"/>
    <x v="27"/>
    <x v="47"/>
    <n v="299"/>
    <s v="UPI"/>
    <s v="captured"/>
    <n v="50"/>
    <s v="Merchant_002"/>
    <s v="grocery"/>
    <s v="West"/>
    <n v="2E-3"/>
  </r>
  <r>
    <s v="TXN100048"/>
    <n v="14"/>
    <x v="18"/>
    <x v="48"/>
    <n v="49"/>
    <s v="Wallet"/>
    <s v="captured"/>
    <n v="82"/>
    <s v="Merchant_006"/>
    <s v="food_delivery"/>
    <s v="South"/>
    <n v="6.4999999999999997E-3"/>
  </r>
  <r>
    <s v="TXN100049"/>
    <n v="237"/>
    <x v="9"/>
    <x v="49"/>
    <n v="49"/>
    <s v="UPI"/>
    <s v="captured"/>
    <n v="6"/>
    <s v="Merchant_012"/>
    <s v="ecommerce"/>
    <s v="East"/>
    <n v="2E-3"/>
  </r>
  <r>
    <s v="TXN100050"/>
    <n v="109"/>
    <x v="24"/>
    <x v="50"/>
    <n v="99"/>
    <s v="UPI"/>
    <s v="captured"/>
    <n v="41"/>
    <s v="Merchant_030"/>
    <s v="travel"/>
    <s v="West"/>
    <n v="2E-3"/>
  </r>
  <r>
    <s v="TXN100051"/>
    <n v="216"/>
    <x v="28"/>
    <x v="51"/>
    <n v="4999"/>
    <s v="UPI"/>
    <s v="captured"/>
    <n v="10"/>
    <s v="Merchant_017"/>
    <s v="grocery"/>
    <s v="North"/>
    <n v="2E-3"/>
  </r>
  <r>
    <s v="TXN100052"/>
    <n v="277"/>
    <x v="29"/>
    <x v="52"/>
    <n v="799"/>
    <s v="UPI"/>
    <s v="captured"/>
    <n v="44"/>
    <s v="Merchant_004"/>
    <s v="ecommerce"/>
    <s v="East"/>
    <n v="2E-3"/>
  </r>
  <r>
    <s v="TXN100053"/>
    <n v="334"/>
    <x v="4"/>
    <x v="53"/>
    <n v="149"/>
    <s v="Wallet"/>
    <s v="captured"/>
    <n v="96"/>
    <s v="Merchant_003"/>
    <s v="grocery"/>
    <s v="East"/>
    <n v="6.4999999999999997E-3"/>
  </r>
  <r>
    <s v="TXN100054"/>
    <n v="11"/>
    <x v="12"/>
    <x v="54"/>
    <n v="299"/>
    <s v="UPI"/>
    <s v="captured"/>
    <n v="19"/>
    <s v="Merchant_040"/>
    <s v="entertainment"/>
    <s v="South"/>
    <n v="2E-3"/>
  </r>
  <r>
    <s v="TXN100055"/>
    <n v="343"/>
    <x v="30"/>
    <x v="55"/>
    <n v="99"/>
    <s v="UPI"/>
    <s v="captured"/>
    <n v="72"/>
    <s v="Merchant_008"/>
    <s v="food_delivery"/>
    <s v="North"/>
    <n v="2E-3"/>
  </r>
  <r>
    <s v="TXN100056"/>
    <n v="132"/>
    <x v="31"/>
    <x v="56"/>
    <n v="299"/>
    <s v="Wallet"/>
    <s v="captured"/>
    <n v="21"/>
    <s v="Merchant_024"/>
    <s v="grocery"/>
    <s v="North"/>
    <n v="6.4999999999999997E-3"/>
  </r>
  <r>
    <s v="TXN100057"/>
    <n v="59"/>
    <x v="2"/>
    <x v="57"/>
    <n v="299"/>
    <s v="UPI"/>
    <s v="captured"/>
    <n v="39"/>
    <s v="Merchant_011"/>
    <s v="ecommerce"/>
    <s v="North"/>
    <n v="2E-3"/>
  </r>
  <r>
    <s v="TXN100058"/>
    <n v="160"/>
    <x v="21"/>
    <x v="58"/>
    <n v="49"/>
    <s v="Wallet"/>
    <s v="captured"/>
    <n v="86"/>
    <s v="Merchant_037"/>
    <s v="entertainment"/>
    <s v="South"/>
    <n v="6.4999999999999997E-3"/>
  </r>
  <r>
    <s v="TXN100059"/>
    <n v="102"/>
    <x v="32"/>
    <x v="59"/>
    <n v="2999"/>
    <s v="UPI"/>
    <s v="captured"/>
    <n v="75"/>
    <s v="Merchant_005"/>
    <s v="recharge"/>
    <s v="South"/>
    <n v="2E-3"/>
  </r>
  <r>
    <s v="TXN100060"/>
    <n v="53"/>
    <x v="15"/>
    <x v="60"/>
    <n v="49"/>
    <s v="Netbanking"/>
    <s v="captured"/>
    <n v="87"/>
    <s v="Merchant_020"/>
    <s v="food_delivery"/>
    <s v="East"/>
    <n v="0.01"/>
  </r>
  <r>
    <s v="TXN100061"/>
    <n v="290"/>
    <x v="4"/>
    <x v="61"/>
    <n v="99"/>
    <s v="Wallet"/>
    <s v="captured"/>
    <n v="44"/>
    <s v="Merchant_003"/>
    <s v="grocery"/>
    <s v="East"/>
    <n v="6.4999999999999997E-3"/>
  </r>
  <r>
    <s v="TXN100062"/>
    <n v="190"/>
    <x v="32"/>
    <x v="62"/>
    <n v="299"/>
    <s v="UPI"/>
    <s v="captured"/>
    <n v="64"/>
    <s v="Merchant_005"/>
    <s v="recharge"/>
    <s v="South"/>
    <n v="2E-3"/>
  </r>
  <r>
    <s v="TXN100063"/>
    <n v="216"/>
    <x v="33"/>
    <x v="63"/>
    <n v="49"/>
    <s v="Card"/>
    <s v="captured"/>
    <n v="13"/>
    <s v="Merchant_032"/>
    <s v="food_delivery"/>
    <s v="West"/>
    <n v="1.4999999999999999E-2"/>
  </r>
  <r>
    <s v="TXN100064"/>
    <n v="236"/>
    <x v="34"/>
    <x v="64"/>
    <n v="499"/>
    <s v="UPI"/>
    <s v="captured"/>
    <n v="55"/>
    <s v="Merchant_010"/>
    <s v="grocery"/>
    <s v="West"/>
    <n v="2E-3"/>
  </r>
  <r>
    <s v="TXN100065"/>
    <n v="334"/>
    <x v="7"/>
    <x v="65"/>
    <n v="499"/>
    <s v="Card"/>
    <s v="captured"/>
    <n v="78"/>
    <s v="Merchant_018"/>
    <s v="grocery"/>
    <s v="West"/>
    <n v="1.4999999999999999E-2"/>
  </r>
  <r>
    <s v="TXN100066"/>
    <n v="248"/>
    <x v="24"/>
    <x v="66"/>
    <n v="799"/>
    <s v="Wallet"/>
    <s v="captured"/>
    <n v="55"/>
    <s v="Merchant_030"/>
    <s v="travel"/>
    <s v="West"/>
    <n v="6.4999999999999997E-3"/>
  </r>
  <r>
    <s v="TXN100067"/>
    <n v="138"/>
    <x v="17"/>
    <x v="67"/>
    <n v="49"/>
    <s v="Card"/>
    <s v="captured"/>
    <n v="31"/>
    <s v="Merchant_021"/>
    <s v="food_delivery"/>
    <s v="East"/>
    <n v="1.4999999999999999E-2"/>
  </r>
  <r>
    <s v="TXN100068"/>
    <n v="231"/>
    <x v="0"/>
    <x v="68"/>
    <n v="49"/>
    <s v="UPI"/>
    <s v="captured"/>
    <n v="96"/>
    <s v="Merchant_016"/>
    <s v="bill_payment"/>
    <s v="West"/>
    <n v="2E-3"/>
  </r>
  <r>
    <s v="TXN100069"/>
    <n v="343"/>
    <x v="14"/>
    <x v="69"/>
    <n v="49"/>
    <s v="UPI"/>
    <s v="captured"/>
    <n v="43"/>
    <s v="Merchant_025"/>
    <s v="travel"/>
    <s v="South"/>
    <n v="2E-3"/>
  </r>
  <r>
    <s v="TXN100070"/>
    <n v="167"/>
    <x v="9"/>
    <x v="70"/>
    <n v="499"/>
    <s v="Wallet"/>
    <s v="captured"/>
    <n v="62"/>
    <s v="Merchant_012"/>
    <s v="ecommerce"/>
    <s v="East"/>
    <n v="6.4999999999999997E-3"/>
  </r>
  <r>
    <s v="TXN100071"/>
    <n v="133"/>
    <x v="3"/>
    <x v="71"/>
    <n v="499"/>
    <s v="UPI"/>
    <s v="captured"/>
    <n v="35"/>
    <s v="Merchant_022"/>
    <s v="travel"/>
    <s v="South"/>
    <n v="2E-3"/>
  </r>
  <r>
    <s v="TXN100072"/>
    <n v="142"/>
    <x v="25"/>
    <x v="72"/>
    <n v="799"/>
    <s v="Wallet"/>
    <s v="captured"/>
    <n v="1"/>
    <s v="Merchant_036"/>
    <s v="entertainment"/>
    <s v="East"/>
    <n v="6.4999999999999997E-3"/>
  </r>
  <r>
    <s v="TXN100073"/>
    <n v="124"/>
    <x v="1"/>
    <x v="73"/>
    <n v="499"/>
    <s v="Wallet"/>
    <s v="captured"/>
    <n v="62"/>
    <s v="Merchant_027"/>
    <s v="ecommerce"/>
    <s v="North"/>
    <n v="6.4999999999999997E-3"/>
  </r>
  <r>
    <s v="TXN100074"/>
    <n v="244"/>
    <x v="33"/>
    <x v="74"/>
    <n v="149"/>
    <s v="UPI"/>
    <s v="captured"/>
    <n v="57"/>
    <s v="Merchant_032"/>
    <s v="food_delivery"/>
    <s v="West"/>
    <n v="2E-3"/>
  </r>
  <r>
    <s v="TXN100075"/>
    <n v="151"/>
    <x v="19"/>
    <x v="75"/>
    <n v="4999"/>
    <s v="UPI"/>
    <s v="captured"/>
    <n v="51"/>
    <s v="Merchant_015"/>
    <s v="travel"/>
    <s v="North"/>
    <n v="2E-3"/>
  </r>
  <r>
    <s v="TXN100076"/>
    <n v="340"/>
    <x v="35"/>
    <x v="76"/>
    <n v="499"/>
    <s v="Card"/>
    <s v="captured"/>
    <n v="47"/>
    <s v="Merchant_038"/>
    <s v="grocery"/>
    <s v="East"/>
    <n v="1.4999999999999999E-2"/>
  </r>
  <r>
    <s v="TXN100077"/>
    <n v="177"/>
    <x v="10"/>
    <x v="77"/>
    <n v="299"/>
    <s v="UPI"/>
    <s v="captured"/>
    <n v="95"/>
    <s v="Merchant_028"/>
    <s v="ecommerce"/>
    <s v="South"/>
    <n v="2E-3"/>
  </r>
  <r>
    <s v="TXN100078"/>
    <n v="233"/>
    <x v="7"/>
    <x v="78"/>
    <n v="499"/>
    <s v="UPI"/>
    <s v="captured"/>
    <n v="39"/>
    <s v="Merchant_018"/>
    <s v="grocery"/>
    <s v="West"/>
    <n v="2E-3"/>
  </r>
  <r>
    <s v="TXN100079"/>
    <n v="99"/>
    <x v="17"/>
    <x v="79"/>
    <n v="499"/>
    <s v="UPI"/>
    <s v="captured"/>
    <n v="15"/>
    <s v="Merchant_021"/>
    <s v="food_delivery"/>
    <s v="East"/>
    <n v="2E-3"/>
  </r>
  <r>
    <s v="TXN100080"/>
    <n v="95"/>
    <x v="6"/>
    <x v="80"/>
    <n v="2999"/>
    <s v="Netbanking"/>
    <s v="failed"/>
    <n v="27"/>
    <s v="Merchant_013"/>
    <s v="travel"/>
    <s v="East"/>
    <n v="0.01"/>
  </r>
  <r>
    <s v="TXN100081"/>
    <n v="302"/>
    <x v="36"/>
    <x v="81"/>
    <n v="49"/>
    <s v="Netbanking"/>
    <s v="captured"/>
    <n v="76"/>
    <s v="Merchant_034"/>
    <s v="travel"/>
    <s v="South"/>
    <n v="0.01"/>
  </r>
  <r>
    <s v="TXN100082"/>
    <n v="100"/>
    <x v="13"/>
    <x v="82"/>
    <n v="2999"/>
    <s v="Netbanking"/>
    <s v="captured"/>
    <n v="29"/>
    <s v="Merchant_019"/>
    <s v="grocery"/>
    <s v="North"/>
    <n v="0.01"/>
  </r>
  <r>
    <s v="TXN100083"/>
    <n v="8"/>
    <x v="8"/>
    <x v="83"/>
    <n v="99"/>
    <s v="UPI"/>
    <s v="captured"/>
    <n v="16"/>
    <s v="Merchant_035"/>
    <s v="recharge"/>
    <s v="East"/>
    <n v="2E-3"/>
  </r>
  <r>
    <s v="TXN100084"/>
    <n v="284"/>
    <x v="13"/>
    <x v="84"/>
    <n v="99"/>
    <s v="UPI"/>
    <s v="captured"/>
    <n v="89"/>
    <s v="Merchant_019"/>
    <s v="grocery"/>
    <s v="North"/>
    <n v="2E-3"/>
  </r>
  <r>
    <s v="TXN100085"/>
    <n v="252"/>
    <x v="23"/>
    <x v="85"/>
    <n v="2999"/>
    <s v="Wallet"/>
    <s v="captured"/>
    <n v="1"/>
    <s v="Merchant_007"/>
    <s v="food_delivery"/>
    <s v="East"/>
    <n v="6.4999999999999997E-3"/>
  </r>
  <r>
    <s v="TXN100086"/>
    <n v="246"/>
    <x v="26"/>
    <x v="86"/>
    <n v="49"/>
    <s v="Wallet"/>
    <s v="captured"/>
    <n v="43"/>
    <s v="Merchant_029"/>
    <s v="ecommerce"/>
    <s v="North"/>
    <n v="6.4999999999999997E-3"/>
  </r>
  <r>
    <s v="TXN100087"/>
    <n v="245"/>
    <x v="30"/>
    <x v="87"/>
    <n v="49"/>
    <s v="UPI"/>
    <s v="chargeback"/>
    <n v="8"/>
    <s v="Merchant_008"/>
    <s v="food_delivery"/>
    <s v="North"/>
    <n v="2E-3"/>
  </r>
  <r>
    <s v="TXN100088"/>
    <n v="296"/>
    <x v="29"/>
    <x v="88"/>
    <n v="799"/>
    <s v="Wallet"/>
    <s v="captured"/>
    <n v="19"/>
    <s v="Merchant_004"/>
    <s v="ecommerce"/>
    <s v="East"/>
    <n v="6.4999999999999997E-3"/>
  </r>
  <r>
    <s v="TXN100089"/>
    <n v="44"/>
    <x v="0"/>
    <x v="89"/>
    <n v="149"/>
    <s v="UPI"/>
    <s v="captured"/>
    <n v="15"/>
    <s v="Merchant_016"/>
    <s v="bill_payment"/>
    <s v="West"/>
    <n v="2E-3"/>
  </r>
  <r>
    <s v="TXN100090"/>
    <n v="306"/>
    <x v="12"/>
    <x v="90"/>
    <n v="799"/>
    <s v="Card"/>
    <s v="captured"/>
    <n v="28"/>
    <s v="Merchant_040"/>
    <s v="entertainment"/>
    <s v="South"/>
    <n v="1.4999999999999999E-2"/>
  </r>
  <r>
    <s v="TXN100091"/>
    <n v="231"/>
    <x v="26"/>
    <x v="91"/>
    <n v="299"/>
    <s v="UPI"/>
    <s v="captured"/>
    <n v="38"/>
    <s v="Merchant_029"/>
    <s v="ecommerce"/>
    <s v="North"/>
    <n v="2E-3"/>
  </r>
  <r>
    <s v="TXN100092"/>
    <n v="157"/>
    <x v="21"/>
    <x v="92"/>
    <n v="499"/>
    <s v="Wallet"/>
    <s v="captured"/>
    <n v="79"/>
    <s v="Merchant_037"/>
    <s v="entertainment"/>
    <s v="South"/>
    <n v="6.4999999999999997E-3"/>
  </r>
  <r>
    <s v="TXN100093"/>
    <n v="51"/>
    <x v="16"/>
    <x v="93"/>
    <n v="1499"/>
    <s v="UPI"/>
    <s v="captured"/>
    <n v="80"/>
    <s v="Merchant_014"/>
    <s v="grocery"/>
    <s v="East"/>
    <n v="2E-3"/>
  </r>
  <r>
    <s v="TXN100094"/>
    <n v="42"/>
    <x v="2"/>
    <x v="94"/>
    <n v="49"/>
    <s v="Wallet"/>
    <s v="captured"/>
    <n v="30"/>
    <s v="Merchant_011"/>
    <s v="ecommerce"/>
    <s v="North"/>
    <n v="6.4999999999999997E-3"/>
  </r>
  <r>
    <s v="TXN100095"/>
    <n v="81"/>
    <x v="37"/>
    <x v="95"/>
    <n v="149"/>
    <s v="UPI"/>
    <s v="captured"/>
    <n v="52"/>
    <s v="Merchant_001"/>
    <s v="ecommerce"/>
    <s v="South"/>
    <n v="2E-3"/>
  </r>
  <r>
    <s v="TXN100096"/>
    <n v="241"/>
    <x v="13"/>
    <x v="96"/>
    <n v="299"/>
    <s v="UPI"/>
    <s v="captured"/>
    <n v="4"/>
    <s v="Merchant_019"/>
    <s v="grocery"/>
    <s v="North"/>
    <n v="2E-3"/>
  </r>
  <r>
    <s v="TXN100097"/>
    <n v="145"/>
    <x v="24"/>
    <x v="97"/>
    <n v="799"/>
    <s v="UPI"/>
    <s v="captured"/>
    <n v="9"/>
    <s v="Merchant_030"/>
    <s v="travel"/>
    <s v="West"/>
    <n v="2E-3"/>
  </r>
  <r>
    <s v="TXN100098"/>
    <n v="136"/>
    <x v="35"/>
    <x v="98"/>
    <n v="299"/>
    <s v="Card"/>
    <s v="captured"/>
    <n v="84"/>
    <s v="Merchant_038"/>
    <s v="grocery"/>
    <s v="East"/>
    <n v="1.4999999999999999E-2"/>
  </r>
  <r>
    <s v="TXN100099"/>
    <n v="59"/>
    <x v="8"/>
    <x v="99"/>
    <n v="499"/>
    <s v="UPI"/>
    <s v="captured"/>
    <n v="28"/>
    <s v="Merchant_035"/>
    <s v="recharge"/>
    <s v="East"/>
    <n v="2E-3"/>
  </r>
  <r>
    <s v="TXN100100"/>
    <n v="137"/>
    <x v="34"/>
    <x v="100"/>
    <n v="299"/>
    <s v="UPI"/>
    <s v="captured"/>
    <n v="9"/>
    <s v="Merchant_010"/>
    <s v="grocery"/>
    <s v="West"/>
    <n v="2E-3"/>
  </r>
  <r>
    <s v="TXN100101"/>
    <n v="158"/>
    <x v="38"/>
    <x v="101"/>
    <n v="499"/>
    <s v="Netbanking"/>
    <s v="captured"/>
    <n v="95"/>
    <s v="Merchant_039"/>
    <s v="entertainment"/>
    <s v="North"/>
    <n v="0.01"/>
  </r>
  <r>
    <s v="TXN100102"/>
    <n v="148"/>
    <x v="26"/>
    <x v="102"/>
    <n v="99"/>
    <s v="Card"/>
    <s v="captured"/>
    <n v="15"/>
    <s v="Merchant_029"/>
    <s v="ecommerce"/>
    <s v="North"/>
    <n v="1.4999999999999999E-2"/>
  </r>
  <r>
    <s v="TXN100103"/>
    <n v="207"/>
    <x v="7"/>
    <x v="103"/>
    <n v="149"/>
    <s v="UPI"/>
    <s v="captured"/>
    <n v="64"/>
    <s v="Merchant_018"/>
    <s v="grocery"/>
    <s v="West"/>
    <n v="2E-3"/>
  </r>
  <r>
    <s v="TXN100104"/>
    <n v="42"/>
    <x v="38"/>
    <x v="104"/>
    <n v="2999"/>
    <s v="Card"/>
    <s v="captured"/>
    <n v="5"/>
    <s v="Merchant_039"/>
    <s v="entertainment"/>
    <s v="North"/>
    <n v="1.4999999999999999E-2"/>
  </r>
  <r>
    <s v="TXN100105"/>
    <n v="166"/>
    <x v="38"/>
    <x v="105"/>
    <n v="149"/>
    <s v="UPI"/>
    <s v="captured"/>
    <n v="32"/>
    <s v="Merchant_039"/>
    <s v="entertainment"/>
    <s v="North"/>
    <n v="2E-3"/>
  </r>
  <r>
    <s v="TXN100106"/>
    <n v="346"/>
    <x v="21"/>
    <x v="106"/>
    <n v="99"/>
    <s v="UPI"/>
    <s v="captured"/>
    <n v="75"/>
    <s v="Merchant_037"/>
    <s v="entertainment"/>
    <s v="South"/>
    <n v="2E-3"/>
  </r>
  <r>
    <s v="TXN100107"/>
    <n v="138"/>
    <x v="21"/>
    <x v="107"/>
    <n v="499"/>
    <s v="UPI"/>
    <s v="captured"/>
    <n v="5"/>
    <s v="Merchant_037"/>
    <s v="entertainment"/>
    <s v="South"/>
    <n v="2E-3"/>
  </r>
  <r>
    <s v="TXN100108"/>
    <n v="266"/>
    <x v="26"/>
    <x v="108"/>
    <n v="499"/>
    <s v="Wallet"/>
    <s v="failed"/>
    <n v="35"/>
    <s v="Merchant_029"/>
    <s v="ecommerce"/>
    <s v="North"/>
    <n v="6.4999999999999997E-3"/>
  </r>
  <r>
    <s v="TXN100109"/>
    <n v="326"/>
    <x v="33"/>
    <x v="109"/>
    <n v="149"/>
    <s v="UPI"/>
    <s v="captured"/>
    <n v="11"/>
    <s v="Merchant_032"/>
    <s v="food_delivery"/>
    <s v="West"/>
    <n v="2E-3"/>
  </r>
  <r>
    <s v="TXN100110"/>
    <n v="171"/>
    <x v="17"/>
    <x v="110"/>
    <n v="799"/>
    <s v="UPI"/>
    <s v="captured"/>
    <n v="85"/>
    <s v="Merchant_021"/>
    <s v="food_delivery"/>
    <s v="East"/>
    <n v="2E-3"/>
  </r>
  <r>
    <s v="TXN100111"/>
    <n v="211"/>
    <x v="33"/>
    <x v="111"/>
    <n v="49"/>
    <s v="UPI"/>
    <s v="captured"/>
    <n v="36"/>
    <s v="Merchant_032"/>
    <s v="food_delivery"/>
    <s v="West"/>
    <n v="2E-3"/>
  </r>
  <r>
    <s v="TXN100112"/>
    <n v="282"/>
    <x v="4"/>
    <x v="112"/>
    <n v="499"/>
    <s v="UPI"/>
    <s v="captured"/>
    <n v="58"/>
    <s v="Merchant_003"/>
    <s v="grocery"/>
    <s v="East"/>
    <n v="2E-3"/>
  </r>
  <r>
    <s v="TXN100113"/>
    <n v="166"/>
    <x v="30"/>
    <x v="113"/>
    <n v="299"/>
    <s v="UPI"/>
    <s v="captured"/>
    <n v="98"/>
    <s v="Merchant_008"/>
    <s v="food_delivery"/>
    <s v="North"/>
    <n v="2E-3"/>
  </r>
  <r>
    <s v="TXN100114"/>
    <n v="1"/>
    <x v="8"/>
    <x v="114"/>
    <n v="149"/>
    <s v="UPI"/>
    <s v="captured"/>
    <n v="59"/>
    <s v="Merchant_035"/>
    <s v="recharge"/>
    <s v="East"/>
    <n v="2E-3"/>
  </r>
  <r>
    <s v="TXN100115"/>
    <n v="266"/>
    <x v="31"/>
    <x v="115"/>
    <n v="499"/>
    <s v="UPI"/>
    <s v="captured"/>
    <n v="79"/>
    <s v="Merchant_024"/>
    <s v="grocery"/>
    <s v="North"/>
    <n v="2E-3"/>
  </r>
  <r>
    <s v="TXN100116"/>
    <n v="227"/>
    <x v="29"/>
    <x v="116"/>
    <n v="499"/>
    <s v="UPI"/>
    <s v="captured"/>
    <n v="26"/>
    <s v="Merchant_004"/>
    <s v="ecommerce"/>
    <s v="East"/>
    <n v="2E-3"/>
  </r>
  <r>
    <s v="TXN100117"/>
    <n v="148"/>
    <x v="26"/>
    <x v="117"/>
    <n v="499"/>
    <s v="UPI"/>
    <s v="captured"/>
    <n v="89"/>
    <s v="Merchant_029"/>
    <s v="ecommerce"/>
    <s v="North"/>
    <n v="2E-3"/>
  </r>
  <r>
    <s v="TXN100118"/>
    <n v="323"/>
    <x v="38"/>
    <x v="118"/>
    <n v="499"/>
    <s v="UPI"/>
    <s v="captured"/>
    <n v="30"/>
    <s v="Merchant_039"/>
    <s v="entertainment"/>
    <s v="North"/>
    <n v="2E-3"/>
  </r>
  <r>
    <s v="TXN100119"/>
    <n v="283"/>
    <x v="37"/>
    <x v="119"/>
    <n v="2999"/>
    <s v="Wallet"/>
    <s v="captured"/>
    <n v="70"/>
    <s v="Merchant_001"/>
    <s v="ecommerce"/>
    <s v="South"/>
    <n v="6.4999999999999997E-3"/>
  </r>
  <r>
    <s v="TXN100120"/>
    <n v="59"/>
    <x v="24"/>
    <x v="120"/>
    <n v="499"/>
    <s v="UPI"/>
    <s v="captured"/>
    <n v="15"/>
    <s v="Merchant_030"/>
    <s v="travel"/>
    <s v="West"/>
    <n v="2E-3"/>
  </r>
  <r>
    <s v="TXN100121"/>
    <n v="150"/>
    <x v="11"/>
    <x v="121"/>
    <n v="2999"/>
    <s v="UPI"/>
    <s v="captured"/>
    <n v="90"/>
    <s v="Merchant_033"/>
    <s v="bill_payment"/>
    <s v="East"/>
    <n v="2E-3"/>
  </r>
  <r>
    <s v="TXN100122"/>
    <n v="248"/>
    <x v="20"/>
    <x v="122"/>
    <n v="1499"/>
    <s v="UPI"/>
    <s v="failed"/>
    <n v="31"/>
    <s v="Merchant_031"/>
    <s v="bill_payment"/>
    <s v="East"/>
    <n v="2E-3"/>
  </r>
  <r>
    <s v="TXN100123"/>
    <n v="197"/>
    <x v="6"/>
    <x v="123"/>
    <n v="49"/>
    <s v="UPI"/>
    <s v="captured"/>
    <n v="76"/>
    <s v="Merchant_013"/>
    <s v="travel"/>
    <s v="East"/>
    <n v="2E-3"/>
  </r>
  <r>
    <s v="TXN100124"/>
    <n v="70"/>
    <x v="32"/>
    <x v="124"/>
    <n v="499"/>
    <s v="UPI"/>
    <s v="captured"/>
    <n v="35"/>
    <s v="Merchant_005"/>
    <s v="recharge"/>
    <s v="South"/>
    <n v="2E-3"/>
  </r>
  <r>
    <s v="TXN100125"/>
    <n v="260"/>
    <x v="7"/>
    <x v="125"/>
    <n v="1499"/>
    <s v="UPI"/>
    <s v="captured"/>
    <n v="0"/>
    <s v="Merchant_018"/>
    <s v="grocery"/>
    <s v="West"/>
    <n v="2E-3"/>
  </r>
  <r>
    <s v="TXN100126"/>
    <n v="301"/>
    <x v="35"/>
    <x v="126"/>
    <n v="99"/>
    <s v="UPI"/>
    <s v="captured"/>
    <n v="84"/>
    <s v="Merchant_038"/>
    <s v="grocery"/>
    <s v="East"/>
    <n v="2E-3"/>
  </r>
  <r>
    <s v="TXN100127"/>
    <n v="276"/>
    <x v="20"/>
    <x v="127"/>
    <n v="499"/>
    <s v="Card"/>
    <s v="captured"/>
    <n v="44"/>
    <s v="Merchant_031"/>
    <s v="bill_payment"/>
    <s v="East"/>
    <n v="1.4999999999999999E-2"/>
  </r>
  <r>
    <s v="TXN100128"/>
    <n v="279"/>
    <x v="14"/>
    <x v="128"/>
    <n v="799"/>
    <s v="UPI"/>
    <s v="captured"/>
    <n v="58"/>
    <s v="Merchant_025"/>
    <s v="travel"/>
    <s v="South"/>
    <n v="2E-3"/>
  </r>
  <r>
    <s v="TXN100129"/>
    <n v="97"/>
    <x v="0"/>
    <x v="129"/>
    <n v="799"/>
    <s v="Card"/>
    <s v="captured"/>
    <n v="73"/>
    <s v="Merchant_016"/>
    <s v="bill_payment"/>
    <s v="West"/>
    <n v="1.4999999999999999E-2"/>
  </r>
  <r>
    <s v="TXN100130"/>
    <n v="211"/>
    <x v="4"/>
    <x v="130"/>
    <n v="149"/>
    <s v="UPI"/>
    <s v="chargeback"/>
    <n v="40"/>
    <s v="Merchant_003"/>
    <s v="grocery"/>
    <s v="East"/>
    <n v="2E-3"/>
  </r>
  <r>
    <s v="TXN100131"/>
    <n v="196"/>
    <x v="14"/>
    <x v="131"/>
    <n v="149"/>
    <s v="Netbanking"/>
    <s v="captured"/>
    <n v="84"/>
    <s v="Merchant_025"/>
    <s v="travel"/>
    <s v="South"/>
    <n v="0.01"/>
  </r>
  <r>
    <s v="TXN100132"/>
    <n v="254"/>
    <x v="4"/>
    <x v="132"/>
    <n v="149"/>
    <s v="Card"/>
    <s v="captured"/>
    <n v="16"/>
    <s v="Merchant_003"/>
    <s v="grocery"/>
    <s v="East"/>
    <n v="1.4999999999999999E-2"/>
  </r>
  <r>
    <s v="TXN100133"/>
    <n v="52"/>
    <x v="26"/>
    <x v="133"/>
    <n v="49"/>
    <s v="Netbanking"/>
    <s v="captured"/>
    <n v="12"/>
    <s v="Merchant_029"/>
    <s v="ecommerce"/>
    <s v="North"/>
    <n v="0.01"/>
  </r>
  <r>
    <s v="TXN100134"/>
    <n v="74"/>
    <x v="1"/>
    <x v="134"/>
    <n v="799"/>
    <s v="UPI"/>
    <s v="captured"/>
    <n v="83"/>
    <s v="Merchant_027"/>
    <s v="ecommerce"/>
    <s v="North"/>
    <n v="2E-3"/>
  </r>
  <r>
    <s v="TXN100135"/>
    <n v="136"/>
    <x v="3"/>
    <x v="135"/>
    <n v="149"/>
    <s v="UPI"/>
    <s v="captured"/>
    <n v="79"/>
    <s v="Merchant_022"/>
    <s v="travel"/>
    <s v="South"/>
    <n v="2E-3"/>
  </r>
  <r>
    <s v="TXN100136"/>
    <n v="42"/>
    <x v="3"/>
    <x v="136"/>
    <n v="49"/>
    <s v="UPI"/>
    <s v="captured"/>
    <n v="86"/>
    <s v="Merchant_022"/>
    <s v="travel"/>
    <s v="South"/>
    <n v="2E-3"/>
  </r>
  <r>
    <s v="TXN100137"/>
    <n v="163"/>
    <x v="33"/>
    <x v="137"/>
    <n v="2999"/>
    <s v="Wallet"/>
    <s v="failed"/>
    <n v="69"/>
    <s v="Merchant_032"/>
    <s v="food_delivery"/>
    <s v="West"/>
    <n v="6.4999999999999997E-3"/>
  </r>
  <r>
    <s v="TXN100138"/>
    <n v="121"/>
    <x v="13"/>
    <x v="138"/>
    <n v="149"/>
    <s v="UPI"/>
    <s v="captured"/>
    <n v="29"/>
    <s v="Merchant_019"/>
    <s v="grocery"/>
    <s v="North"/>
    <n v="2E-3"/>
  </r>
  <r>
    <s v="TXN100139"/>
    <n v="51"/>
    <x v="23"/>
    <x v="139"/>
    <n v="499"/>
    <s v="Card"/>
    <s v="captured"/>
    <n v="56"/>
    <s v="Merchant_007"/>
    <s v="food_delivery"/>
    <s v="East"/>
    <n v="1.4999999999999999E-2"/>
  </r>
  <r>
    <s v="TXN100140"/>
    <n v="15"/>
    <x v="4"/>
    <x v="140"/>
    <n v="799"/>
    <s v="UPI"/>
    <s v="captured"/>
    <n v="41"/>
    <s v="Merchant_003"/>
    <s v="grocery"/>
    <s v="East"/>
    <n v="2E-3"/>
  </r>
  <r>
    <s v="TXN100141"/>
    <n v="184"/>
    <x v="31"/>
    <x v="141"/>
    <n v="49"/>
    <s v="UPI"/>
    <s v="captured"/>
    <n v="55"/>
    <s v="Merchant_024"/>
    <s v="grocery"/>
    <s v="North"/>
    <n v="2E-3"/>
  </r>
  <r>
    <s v="TXN100142"/>
    <n v="211"/>
    <x v="21"/>
    <x v="142"/>
    <n v="1499"/>
    <s v="UPI"/>
    <s v="captured"/>
    <n v="87"/>
    <s v="Merchant_037"/>
    <s v="entertainment"/>
    <s v="South"/>
    <n v="2E-3"/>
  </r>
  <r>
    <s v="TXN100143"/>
    <n v="90"/>
    <x v="18"/>
    <x v="143"/>
    <n v="49"/>
    <s v="Card"/>
    <s v="captured"/>
    <n v="78"/>
    <s v="Merchant_006"/>
    <s v="food_delivery"/>
    <s v="South"/>
    <n v="1.4999999999999999E-2"/>
  </r>
  <r>
    <s v="TXN100144"/>
    <n v="350"/>
    <x v="0"/>
    <x v="144"/>
    <n v="49"/>
    <s v="UPI"/>
    <s v="captured"/>
    <n v="63"/>
    <s v="Merchant_016"/>
    <s v="bill_payment"/>
    <s v="West"/>
    <n v="2E-3"/>
  </r>
  <r>
    <s v="TXN100145"/>
    <n v="119"/>
    <x v="24"/>
    <x v="145"/>
    <n v="49"/>
    <s v="Card"/>
    <s v="captured"/>
    <n v="81"/>
    <s v="Merchant_030"/>
    <s v="travel"/>
    <s v="West"/>
    <n v="1.4999999999999999E-2"/>
  </r>
  <r>
    <s v="TXN100146"/>
    <n v="342"/>
    <x v="37"/>
    <x v="146"/>
    <n v="49"/>
    <s v="UPI"/>
    <s v="captured"/>
    <n v="59"/>
    <s v="Merchant_001"/>
    <s v="ecommerce"/>
    <s v="South"/>
    <n v="2E-3"/>
  </r>
  <r>
    <s v="TXN100147"/>
    <n v="280"/>
    <x v="2"/>
    <x v="147"/>
    <n v="149"/>
    <s v="UPI"/>
    <s v="chargeback"/>
    <n v="9"/>
    <s v="Merchant_011"/>
    <s v="ecommerce"/>
    <s v="North"/>
    <n v="2E-3"/>
  </r>
  <r>
    <s v="TXN100148"/>
    <n v="154"/>
    <x v="10"/>
    <x v="148"/>
    <n v="2999"/>
    <s v="Netbanking"/>
    <s v="captured"/>
    <n v="88"/>
    <s v="Merchant_028"/>
    <s v="ecommerce"/>
    <s v="South"/>
    <n v="0.01"/>
  </r>
  <r>
    <s v="TXN100149"/>
    <n v="155"/>
    <x v="6"/>
    <x v="149"/>
    <n v="149"/>
    <s v="UPI"/>
    <s v="captured"/>
    <n v="49"/>
    <s v="Merchant_013"/>
    <s v="travel"/>
    <s v="East"/>
    <n v="2E-3"/>
  </r>
  <r>
    <s v="TXN100150"/>
    <n v="122"/>
    <x v="14"/>
    <x v="150"/>
    <n v="299"/>
    <s v="UPI"/>
    <s v="captured"/>
    <n v="73"/>
    <s v="Merchant_025"/>
    <s v="travel"/>
    <s v="South"/>
    <n v="2E-3"/>
  </r>
  <r>
    <s v="TXN100151"/>
    <n v="152"/>
    <x v="27"/>
    <x v="151"/>
    <n v="49"/>
    <s v="UPI"/>
    <s v="captured"/>
    <n v="84"/>
    <s v="Merchant_002"/>
    <s v="grocery"/>
    <s v="West"/>
    <n v="2E-3"/>
  </r>
  <r>
    <s v="TXN100152"/>
    <n v="290"/>
    <x v="29"/>
    <x v="152"/>
    <n v="149"/>
    <s v="UPI"/>
    <s v="captured"/>
    <n v="77"/>
    <s v="Merchant_004"/>
    <s v="ecommerce"/>
    <s v="East"/>
    <n v="2E-3"/>
  </r>
  <r>
    <s v="TXN100153"/>
    <n v="147"/>
    <x v="19"/>
    <x v="153"/>
    <n v="49"/>
    <s v="Wallet"/>
    <s v="captured"/>
    <n v="77"/>
    <s v="Merchant_015"/>
    <s v="travel"/>
    <s v="North"/>
    <n v="6.4999999999999997E-3"/>
  </r>
  <r>
    <s v="TXN100154"/>
    <n v="326"/>
    <x v="6"/>
    <x v="154"/>
    <n v="299"/>
    <s v="Netbanking"/>
    <s v="captured"/>
    <n v="79"/>
    <s v="Merchant_013"/>
    <s v="travel"/>
    <s v="East"/>
    <n v="0.01"/>
  </r>
  <r>
    <s v="TXN100155"/>
    <n v="338"/>
    <x v="39"/>
    <x v="155"/>
    <n v="99"/>
    <s v="Card"/>
    <s v="captured"/>
    <n v="80"/>
    <s v="Merchant_009"/>
    <s v="ecommerce"/>
    <s v="North"/>
    <n v="1.4999999999999999E-2"/>
  </r>
  <r>
    <s v="TXN100156"/>
    <n v="21"/>
    <x v="15"/>
    <x v="156"/>
    <n v="2999"/>
    <s v="UPI"/>
    <s v="captured"/>
    <n v="100"/>
    <s v="Merchant_020"/>
    <s v="food_delivery"/>
    <s v="East"/>
    <n v="2E-3"/>
  </r>
  <r>
    <s v="TXN100157"/>
    <n v="187"/>
    <x v="39"/>
    <x v="157"/>
    <n v="49"/>
    <s v="Card"/>
    <s v="failed"/>
    <n v="11"/>
    <s v="Merchant_009"/>
    <s v="ecommerce"/>
    <s v="North"/>
    <n v="1.4999999999999999E-2"/>
  </r>
  <r>
    <s v="TXN100158"/>
    <n v="213"/>
    <x v="9"/>
    <x v="158"/>
    <n v="4999"/>
    <s v="UPI"/>
    <s v="captured"/>
    <n v="25"/>
    <s v="Merchant_012"/>
    <s v="ecommerce"/>
    <s v="East"/>
    <n v="2E-3"/>
  </r>
  <r>
    <s v="TXN100159"/>
    <n v="188"/>
    <x v="36"/>
    <x v="159"/>
    <n v="2999"/>
    <s v="UPI"/>
    <s v="captured"/>
    <n v="64"/>
    <s v="Merchant_034"/>
    <s v="travel"/>
    <s v="South"/>
    <n v="2E-3"/>
  </r>
  <r>
    <s v="TXN100160"/>
    <n v="85"/>
    <x v="28"/>
    <x v="160"/>
    <n v="499"/>
    <s v="UPI"/>
    <s v="captured"/>
    <n v="61"/>
    <s v="Merchant_017"/>
    <s v="grocery"/>
    <s v="North"/>
    <n v="2E-3"/>
  </r>
  <r>
    <s v="TXN100161"/>
    <n v="174"/>
    <x v="30"/>
    <x v="161"/>
    <n v="299"/>
    <s v="Netbanking"/>
    <s v="captured"/>
    <n v="59"/>
    <s v="Merchant_008"/>
    <s v="food_delivery"/>
    <s v="North"/>
    <n v="0.01"/>
  </r>
  <r>
    <s v="TXN100162"/>
    <n v="116"/>
    <x v="22"/>
    <x v="162"/>
    <n v="99"/>
    <s v="Netbanking"/>
    <s v="captured"/>
    <n v="71"/>
    <s v="Merchant_026"/>
    <s v="food_delivery"/>
    <s v="East"/>
    <n v="0.01"/>
  </r>
  <r>
    <s v="TXN100163"/>
    <n v="203"/>
    <x v="37"/>
    <x v="163"/>
    <n v="149"/>
    <s v="Wallet"/>
    <s v="captured"/>
    <n v="33"/>
    <s v="Merchant_001"/>
    <s v="ecommerce"/>
    <s v="South"/>
    <n v="6.4999999999999997E-3"/>
  </r>
  <r>
    <s v="TXN100164"/>
    <n v="189"/>
    <x v="28"/>
    <x v="164"/>
    <n v="99"/>
    <s v="UPI"/>
    <s v="captured"/>
    <n v="74"/>
    <s v="Merchant_017"/>
    <s v="grocery"/>
    <s v="North"/>
    <n v="2E-3"/>
  </r>
  <r>
    <s v="TXN100165"/>
    <n v="56"/>
    <x v="19"/>
    <x v="165"/>
    <n v="299"/>
    <s v="UPI"/>
    <s v="captured"/>
    <n v="60"/>
    <s v="Merchant_015"/>
    <s v="travel"/>
    <s v="North"/>
    <n v="2E-3"/>
  </r>
  <r>
    <s v="TXN100166"/>
    <n v="288"/>
    <x v="17"/>
    <x v="166"/>
    <n v="4999"/>
    <s v="Wallet"/>
    <s v="failed"/>
    <n v="78"/>
    <s v="Merchant_021"/>
    <s v="food_delivery"/>
    <s v="East"/>
    <n v="6.4999999999999997E-3"/>
  </r>
  <r>
    <s v="TXN100167"/>
    <n v="326"/>
    <x v="24"/>
    <x v="53"/>
    <n v="99"/>
    <s v="Card"/>
    <s v="captured"/>
    <n v="89"/>
    <s v="Merchant_030"/>
    <s v="travel"/>
    <s v="West"/>
    <n v="1.4999999999999999E-2"/>
  </r>
  <r>
    <s v="TXN100168"/>
    <n v="60"/>
    <x v="39"/>
    <x v="167"/>
    <n v="49"/>
    <s v="Netbanking"/>
    <s v="captured"/>
    <n v="5"/>
    <s v="Merchant_009"/>
    <s v="ecommerce"/>
    <s v="North"/>
    <n v="0.01"/>
  </r>
  <r>
    <s v="TXN100169"/>
    <n v="60"/>
    <x v="23"/>
    <x v="168"/>
    <n v="2999"/>
    <s v="Wallet"/>
    <s v="captured"/>
    <n v="30"/>
    <s v="Merchant_007"/>
    <s v="food_delivery"/>
    <s v="East"/>
    <n v="6.4999999999999997E-3"/>
  </r>
  <r>
    <s v="TXN100170"/>
    <n v="199"/>
    <x v="24"/>
    <x v="169"/>
    <n v="149"/>
    <s v="Netbanking"/>
    <s v="captured"/>
    <n v="47"/>
    <s v="Merchant_030"/>
    <s v="travel"/>
    <s v="West"/>
    <n v="0.01"/>
  </r>
  <r>
    <s v="TXN100171"/>
    <n v="277"/>
    <x v="1"/>
    <x v="170"/>
    <n v="49"/>
    <s v="UPI"/>
    <s v="captured"/>
    <n v="75"/>
    <s v="Merchant_027"/>
    <s v="ecommerce"/>
    <s v="North"/>
    <n v="2E-3"/>
  </r>
  <r>
    <s v="TXN100172"/>
    <n v="213"/>
    <x v="23"/>
    <x v="171"/>
    <n v="799"/>
    <s v="Netbanking"/>
    <s v="captured"/>
    <n v="62"/>
    <s v="Merchant_007"/>
    <s v="food_delivery"/>
    <s v="East"/>
    <n v="0.01"/>
  </r>
  <r>
    <s v="TXN100173"/>
    <n v="17"/>
    <x v="31"/>
    <x v="172"/>
    <n v="299"/>
    <s v="UPI"/>
    <s v="captured"/>
    <n v="27"/>
    <s v="Merchant_024"/>
    <s v="grocery"/>
    <s v="North"/>
    <n v="2E-3"/>
  </r>
  <r>
    <s v="TXN100174"/>
    <n v="186"/>
    <x v="23"/>
    <x v="173"/>
    <n v="1499"/>
    <s v="Card"/>
    <s v="failed"/>
    <n v="87"/>
    <s v="Merchant_007"/>
    <s v="food_delivery"/>
    <s v="East"/>
    <n v="1.4999999999999999E-2"/>
  </r>
  <r>
    <s v="TXN100175"/>
    <n v="331"/>
    <x v="5"/>
    <x v="174"/>
    <n v="149"/>
    <s v="UPI"/>
    <s v="captured"/>
    <n v="7"/>
    <s v="Merchant_023"/>
    <s v="travel"/>
    <s v="North"/>
    <n v="2E-3"/>
  </r>
  <r>
    <s v="TXN100176"/>
    <n v="63"/>
    <x v="24"/>
    <x v="175"/>
    <n v="1499"/>
    <s v="Card"/>
    <s v="captured"/>
    <n v="11"/>
    <s v="Merchant_030"/>
    <s v="travel"/>
    <s v="West"/>
    <n v="1.4999999999999999E-2"/>
  </r>
  <r>
    <s v="TXN100177"/>
    <n v="328"/>
    <x v="38"/>
    <x v="176"/>
    <n v="4999"/>
    <s v="Wallet"/>
    <s v="chargeback"/>
    <n v="2"/>
    <s v="Merchant_039"/>
    <s v="entertainment"/>
    <s v="North"/>
    <n v="6.4999999999999997E-3"/>
  </r>
  <r>
    <s v="TXN100178"/>
    <n v="65"/>
    <x v="21"/>
    <x v="177"/>
    <n v="2999"/>
    <s v="Card"/>
    <s v="captured"/>
    <n v="26"/>
    <s v="Merchant_037"/>
    <s v="entertainment"/>
    <s v="South"/>
    <n v="1.4999999999999999E-2"/>
  </r>
  <r>
    <s v="TXN100179"/>
    <n v="301"/>
    <x v="16"/>
    <x v="178"/>
    <n v="149"/>
    <s v="UPI"/>
    <s v="captured"/>
    <n v="29"/>
    <s v="Merchant_014"/>
    <s v="grocery"/>
    <s v="East"/>
    <n v="2E-3"/>
  </r>
  <r>
    <s v="TXN100180"/>
    <n v="306"/>
    <x v="37"/>
    <x v="179"/>
    <n v="299"/>
    <s v="UPI"/>
    <s v="failed"/>
    <n v="35"/>
    <s v="Merchant_001"/>
    <s v="ecommerce"/>
    <s v="South"/>
    <n v="2E-3"/>
  </r>
  <r>
    <s v="TXN100181"/>
    <n v="277"/>
    <x v="28"/>
    <x v="180"/>
    <n v="299"/>
    <s v="UPI"/>
    <s v="captured"/>
    <n v="22"/>
    <s v="Merchant_017"/>
    <s v="grocery"/>
    <s v="North"/>
    <n v="2E-3"/>
  </r>
  <r>
    <s v="TXN100182"/>
    <n v="14"/>
    <x v="39"/>
    <x v="181"/>
    <n v="499"/>
    <s v="UPI"/>
    <s v="captured"/>
    <n v="1"/>
    <s v="Merchant_009"/>
    <s v="ecommerce"/>
    <s v="North"/>
    <n v="2E-3"/>
  </r>
  <r>
    <s v="TXN100183"/>
    <n v="166"/>
    <x v="27"/>
    <x v="182"/>
    <n v="299"/>
    <s v="Card"/>
    <s v="captured"/>
    <n v="22"/>
    <s v="Merchant_002"/>
    <s v="grocery"/>
    <s v="West"/>
    <n v="1.4999999999999999E-2"/>
  </r>
  <r>
    <s v="TXN100184"/>
    <n v="216"/>
    <x v="36"/>
    <x v="183"/>
    <n v="299"/>
    <s v="Card"/>
    <s v="captured"/>
    <n v="14"/>
    <s v="Merchant_034"/>
    <s v="travel"/>
    <s v="South"/>
    <n v="1.4999999999999999E-2"/>
  </r>
  <r>
    <s v="TXN100185"/>
    <n v="230"/>
    <x v="31"/>
    <x v="184"/>
    <n v="49"/>
    <s v="UPI"/>
    <s v="captured"/>
    <n v="65"/>
    <s v="Merchant_024"/>
    <s v="grocery"/>
    <s v="North"/>
    <n v="2E-3"/>
  </r>
  <r>
    <s v="TXN100186"/>
    <n v="258"/>
    <x v="19"/>
    <x v="185"/>
    <n v="499"/>
    <s v="Wallet"/>
    <s v="captured"/>
    <n v="78"/>
    <s v="Merchant_015"/>
    <s v="travel"/>
    <s v="North"/>
    <n v="6.4999999999999997E-3"/>
  </r>
  <r>
    <s v="TXN100187"/>
    <n v="338"/>
    <x v="36"/>
    <x v="186"/>
    <n v="49"/>
    <s v="UPI"/>
    <s v="captured"/>
    <n v="38"/>
    <s v="Merchant_034"/>
    <s v="travel"/>
    <s v="South"/>
    <n v="2E-3"/>
  </r>
  <r>
    <s v="TXN100188"/>
    <n v="32"/>
    <x v="20"/>
    <x v="187"/>
    <n v="299"/>
    <s v="UPI"/>
    <s v="captured"/>
    <n v="51"/>
    <s v="Merchant_031"/>
    <s v="bill_payment"/>
    <s v="East"/>
    <n v="2E-3"/>
  </r>
  <r>
    <s v="TXN100189"/>
    <n v="252"/>
    <x v="26"/>
    <x v="188"/>
    <n v="1499"/>
    <s v="UPI"/>
    <s v="captured"/>
    <n v="9"/>
    <s v="Merchant_029"/>
    <s v="ecommerce"/>
    <s v="North"/>
    <n v="2E-3"/>
  </r>
  <r>
    <s v="TXN100190"/>
    <n v="312"/>
    <x v="34"/>
    <x v="189"/>
    <n v="799"/>
    <s v="UPI"/>
    <s v="captured"/>
    <n v="8"/>
    <s v="Merchant_010"/>
    <s v="grocery"/>
    <s v="West"/>
    <n v="2E-3"/>
  </r>
  <r>
    <s v="TXN100191"/>
    <n v="325"/>
    <x v="35"/>
    <x v="190"/>
    <n v="1499"/>
    <s v="Netbanking"/>
    <s v="captured"/>
    <n v="70"/>
    <s v="Merchant_038"/>
    <s v="grocery"/>
    <s v="East"/>
    <n v="0.01"/>
  </r>
  <r>
    <s v="TXN100192"/>
    <n v="306"/>
    <x v="36"/>
    <x v="191"/>
    <n v="2999"/>
    <s v="UPI"/>
    <s v="captured"/>
    <n v="37"/>
    <s v="Merchant_034"/>
    <s v="travel"/>
    <s v="South"/>
    <n v="2E-3"/>
  </r>
  <r>
    <s v="TXN100193"/>
    <n v="221"/>
    <x v="23"/>
    <x v="192"/>
    <n v="149"/>
    <s v="Netbanking"/>
    <s v="captured"/>
    <n v="89"/>
    <s v="Merchant_007"/>
    <s v="food_delivery"/>
    <s v="East"/>
    <n v="0.01"/>
  </r>
  <r>
    <s v="TXN100194"/>
    <n v="283"/>
    <x v="16"/>
    <x v="156"/>
    <n v="99"/>
    <s v="Wallet"/>
    <s v="captured"/>
    <n v="55"/>
    <s v="Merchant_014"/>
    <s v="grocery"/>
    <s v="East"/>
    <n v="6.4999999999999997E-3"/>
  </r>
  <r>
    <s v="TXN100195"/>
    <n v="174"/>
    <x v="24"/>
    <x v="193"/>
    <n v="49"/>
    <s v="UPI"/>
    <s v="captured"/>
    <n v="51"/>
    <s v="Merchant_030"/>
    <s v="travel"/>
    <s v="West"/>
    <n v="2E-3"/>
  </r>
  <r>
    <s v="TXN100196"/>
    <n v="161"/>
    <x v="10"/>
    <x v="194"/>
    <n v="49"/>
    <s v="UPI"/>
    <s v="captured"/>
    <n v="40"/>
    <s v="Merchant_028"/>
    <s v="ecommerce"/>
    <s v="South"/>
    <n v="2E-3"/>
  </r>
  <r>
    <s v="TXN100197"/>
    <n v="79"/>
    <x v="20"/>
    <x v="195"/>
    <n v="99"/>
    <s v="UPI"/>
    <s v="captured"/>
    <n v="8"/>
    <s v="Merchant_031"/>
    <s v="bill_payment"/>
    <s v="East"/>
    <n v="2E-3"/>
  </r>
  <r>
    <s v="TXN100198"/>
    <n v="222"/>
    <x v="23"/>
    <x v="196"/>
    <n v="149"/>
    <s v="Wallet"/>
    <s v="captured"/>
    <n v="95"/>
    <s v="Merchant_007"/>
    <s v="food_delivery"/>
    <s v="East"/>
    <n v="6.4999999999999997E-3"/>
  </r>
  <r>
    <s v="TXN100199"/>
    <n v="67"/>
    <x v="25"/>
    <x v="197"/>
    <n v="99"/>
    <s v="UPI"/>
    <s v="captured"/>
    <n v="7"/>
    <s v="Merchant_036"/>
    <s v="entertainment"/>
    <s v="East"/>
    <n v="2E-3"/>
  </r>
  <r>
    <s v="TXN100200"/>
    <n v="169"/>
    <x v="30"/>
    <x v="198"/>
    <n v="99"/>
    <s v="UPI"/>
    <s v="captured"/>
    <n v="52"/>
    <s v="Merchant_008"/>
    <s v="food_delivery"/>
    <s v="North"/>
    <n v="2E-3"/>
  </r>
  <r>
    <s v="TXN100201"/>
    <n v="217"/>
    <x v="29"/>
    <x v="199"/>
    <n v="49"/>
    <s v="UPI"/>
    <s v="captured"/>
    <n v="36"/>
    <s v="Merchant_004"/>
    <s v="ecommerce"/>
    <s v="East"/>
    <n v="2E-3"/>
  </r>
  <r>
    <s v="TXN100202"/>
    <n v="54"/>
    <x v="21"/>
    <x v="200"/>
    <n v="149"/>
    <s v="UPI"/>
    <s v="captured"/>
    <n v="64"/>
    <s v="Merchant_037"/>
    <s v="entertainment"/>
    <s v="South"/>
    <n v="2E-3"/>
  </r>
  <r>
    <s v="TXN100203"/>
    <n v="247"/>
    <x v="19"/>
    <x v="201"/>
    <n v="49"/>
    <s v="Card"/>
    <s v="captured"/>
    <n v="13"/>
    <s v="Merchant_015"/>
    <s v="travel"/>
    <s v="North"/>
    <n v="1.4999999999999999E-2"/>
  </r>
  <r>
    <s v="TXN100204"/>
    <n v="59"/>
    <x v="7"/>
    <x v="202"/>
    <n v="49"/>
    <s v="Card"/>
    <s v="captured"/>
    <n v="73"/>
    <s v="Merchant_018"/>
    <s v="grocery"/>
    <s v="West"/>
    <n v="1.4999999999999999E-2"/>
  </r>
  <r>
    <s v="TXN100205"/>
    <n v="288"/>
    <x v="12"/>
    <x v="203"/>
    <n v="49"/>
    <s v="UPI"/>
    <s v="failed"/>
    <n v="78"/>
    <s v="Merchant_040"/>
    <s v="entertainment"/>
    <s v="South"/>
    <n v="2E-3"/>
  </r>
  <r>
    <s v="TXN100206"/>
    <n v="14"/>
    <x v="38"/>
    <x v="204"/>
    <n v="799"/>
    <s v="UPI"/>
    <s v="captured"/>
    <n v="84"/>
    <s v="Merchant_039"/>
    <s v="entertainment"/>
    <s v="North"/>
    <n v="2E-3"/>
  </r>
  <r>
    <s v="TXN100207"/>
    <n v="15"/>
    <x v="9"/>
    <x v="205"/>
    <n v="149"/>
    <s v="UPI"/>
    <s v="captured"/>
    <n v="34"/>
    <s v="Merchant_012"/>
    <s v="ecommerce"/>
    <s v="East"/>
    <n v="2E-3"/>
  </r>
  <r>
    <s v="TXN100208"/>
    <n v="174"/>
    <x v="5"/>
    <x v="206"/>
    <n v="149"/>
    <s v="UPI"/>
    <s v="captured"/>
    <n v="0"/>
    <s v="Merchant_023"/>
    <s v="travel"/>
    <s v="North"/>
    <n v="2E-3"/>
  </r>
  <r>
    <s v="TXN100209"/>
    <n v="337"/>
    <x v="22"/>
    <x v="207"/>
    <n v="49"/>
    <s v="UPI"/>
    <s v="captured"/>
    <n v="8"/>
    <s v="Merchant_026"/>
    <s v="food_delivery"/>
    <s v="East"/>
    <n v="2E-3"/>
  </r>
  <r>
    <s v="TXN100210"/>
    <n v="16"/>
    <x v="18"/>
    <x v="208"/>
    <n v="1499"/>
    <s v="UPI"/>
    <s v="captured"/>
    <n v="95"/>
    <s v="Merchant_006"/>
    <s v="food_delivery"/>
    <s v="South"/>
    <n v="2E-3"/>
  </r>
  <r>
    <s v="TXN100211"/>
    <n v="215"/>
    <x v="24"/>
    <x v="209"/>
    <n v="49"/>
    <s v="UPI"/>
    <s v="captured"/>
    <n v="43"/>
    <s v="Merchant_030"/>
    <s v="travel"/>
    <s v="West"/>
    <n v="2E-3"/>
  </r>
  <r>
    <s v="TXN100212"/>
    <n v="167"/>
    <x v="21"/>
    <x v="210"/>
    <n v="99"/>
    <s v="UPI"/>
    <s v="captured"/>
    <n v="76"/>
    <s v="Merchant_037"/>
    <s v="entertainment"/>
    <s v="South"/>
    <n v="2E-3"/>
  </r>
  <r>
    <s v="TXN100213"/>
    <n v="81"/>
    <x v="12"/>
    <x v="211"/>
    <n v="49"/>
    <s v="UPI"/>
    <s v="captured"/>
    <n v="6"/>
    <s v="Merchant_040"/>
    <s v="entertainment"/>
    <s v="South"/>
    <n v="2E-3"/>
  </r>
  <r>
    <s v="TXN100214"/>
    <n v="227"/>
    <x v="10"/>
    <x v="212"/>
    <n v="99"/>
    <s v="UPI"/>
    <s v="captured"/>
    <n v="62"/>
    <s v="Merchant_028"/>
    <s v="ecommerce"/>
    <s v="South"/>
    <n v="2E-3"/>
  </r>
  <r>
    <s v="TXN100215"/>
    <n v="140"/>
    <x v="16"/>
    <x v="213"/>
    <n v="299"/>
    <s v="Wallet"/>
    <s v="captured"/>
    <n v="96"/>
    <s v="Merchant_014"/>
    <s v="grocery"/>
    <s v="East"/>
    <n v="6.4999999999999997E-3"/>
  </r>
  <r>
    <s v="TXN100216"/>
    <n v="221"/>
    <x v="30"/>
    <x v="214"/>
    <n v="299"/>
    <s v="UPI"/>
    <s v="captured"/>
    <n v="36"/>
    <s v="Merchant_008"/>
    <s v="food_delivery"/>
    <s v="North"/>
    <n v="2E-3"/>
  </r>
  <r>
    <s v="TXN100217"/>
    <n v="250"/>
    <x v="36"/>
    <x v="215"/>
    <n v="299"/>
    <s v="Wallet"/>
    <s v="captured"/>
    <n v="85"/>
    <s v="Merchant_034"/>
    <s v="travel"/>
    <s v="South"/>
    <n v="6.4999999999999997E-3"/>
  </r>
  <r>
    <s v="TXN100218"/>
    <n v="203"/>
    <x v="38"/>
    <x v="216"/>
    <n v="49"/>
    <s v="UPI"/>
    <s v="captured"/>
    <n v="7"/>
    <s v="Merchant_039"/>
    <s v="entertainment"/>
    <s v="North"/>
    <n v="2E-3"/>
  </r>
  <r>
    <s v="TXN100219"/>
    <n v="109"/>
    <x v="39"/>
    <x v="217"/>
    <n v="499"/>
    <s v="Wallet"/>
    <s v="captured"/>
    <n v="97"/>
    <s v="Merchant_009"/>
    <s v="ecommerce"/>
    <s v="North"/>
    <n v="6.4999999999999997E-3"/>
  </r>
  <r>
    <s v="TXN100220"/>
    <n v="62"/>
    <x v="37"/>
    <x v="218"/>
    <n v="4999"/>
    <s v="Wallet"/>
    <s v="captured"/>
    <n v="63"/>
    <s v="Merchant_001"/>
    <s v="ecommerce"/>
    <s v="South"/>
    <n v="6.4999999999999997E-3"/>
  </r>
  <r>
    <s v="TXN100221"/>
    <n v="67"/>
    <x v="14"/>
    <x v="219"/>
    <n v="49"/>
    <s v="UPI"/>
    <s v="captured"/>
    <n v="68"/>
    <s v="Merchant_025"/>
    <s v="travel"/>
    <s v="South"/>
    <n v="2E-3"/>
  </r>
  <r>
    <s v="TXN100222"/>
    <n v="287"/>
    <x v="5"/>
    <x v="220"/>
    <n v="49"/>
    <s v="UPI"/>
    <s v="captured"/>
    <n v="9"/>
    <s v="Merchant_023"/>
    <s v="travel"/>
    <s v="North"/>
    <n v="2E-3"/>
  </r>
  <r>
    <s v="TXN100223"/>
    <n v="224"/>
    <x v="27"/>
    <x v="221"/>
    <n v="49"/>
    <s v="Card"/>
    <s v="captured"/>
    <n v="58"/>
    <s v="Merchant_002"/>
    <s v="grocery"/>
    <s v="West"/>
    <n v="1.4999999999999999E-2"/>
  </r>
  <r>
    <s v="TXN100224"/>
    <n v="161"/>
    <x v="21"/>
    <x v="222"/>
    <n v="299"/>
    <s v="UPI"/>
    <s v="captured"/>
    <n v="54"/>
    <s v="Merchant_037"/>
    <s v="entertainment"/>
    <s v="South"/>
    <n v="2E-3"/>
  </r>
  <r>
    <s v="TXN100225"/>
    <n v="328"/>
    <x v="1"/>
    <x v="223"/>
    <n v="49"/>
    <s v="UPI"/>
    <s v="chargeback"/>
    <n v="37"/>
    <s v="Merchant_027"/>
    <s v="ecommerce"/>
    <s v="North"/>
    <n v="2E-3"/>
  </r>
  <r>
    <s v="TXN100226"/>
    <n v="167"/>
    <x v="2"/>
    <x v="224"/>
    <n v="1499"/>
    <s v="Card"/>
    <s v="failed"/>
    <n v="79"/>
    <s v="Merchant_011"/>
    <s v="ecommerce"/>
    <s v="North"/>
    <n v="1.4999999999999999E-2"/>
  </r>
  <r>
    <s v="TXN100227"/>
    <n v="186"/>
    <x v="18"/>
    <x v="225"/>
    <n v="49"/>
    <s v="Wallet"/>
    <s v="captured"/>
    <n v="55"/>
    <s v="Merchant_006"/>
    <s v="food_delivery"/>
    <s v="South"/>
    <n v="6.4999999999999997E-3"/>
  </r>
  <r>
    <s v="TXN100228"/>
    <n v="224"/>
    <x v="35"/>
    <x v="226"/>
    <n v="299"/>
    <s v="Wallet"/>
    <s v="failed"/>
    <n v="51"/>
    <s v="Merchant_038"/>
    <s v="grocery"/>
    <s v="East"/>
    <n v="6.4999999999999997E-3"/>
  </r>
  <r>
    <s v="TXN100229"/>
    <n v="159"/>
    <x v="3"/>
    <x v="227"/>
    <n v="799"/>
    <s v="UPI"/>
    <s v="captured"/>
    <n v="28"/>
    <s v="Merchant_022"/>
    <s v="travel"/>
    <s v="South"/>
    <n v="2E-3"/>
  </r>
  <r>
    <s v="TXN100230"/>
    <n v="262"/>
    <x v="30"/>
    <x v="228"/>
    <n v="149"/>
    <s v="UPI"/>
    <s v="captured"/>
    <n v="67"/>
    <s v="Merchant_008"/>
    <s v="food_delivery"/>
    <s v="North"/>
    <n v="2E-3"/>
  </r>
  <r>
    <s v="TXN100231"/>
    <n v="179"/>
    <x v="5"/>
    <x v="229"/>
    <n v="49"/>
    <s v="Wallet"/>
    <s v="captured"/>
    <n v="93"/>
    <s v="Merchant_023"/>
    <s v="travel"/>
    <s v="North"/>
    <n v="6.4999999999999997E-3"/>
  </r>
  <r>
    <s v="TXN100232"/>
    <n v="76"/>
    <x v="0"/>
    <x v="230"/>
    <n v="299"/>
    <s v="UPI"/>
    <s v="captured"/>
    <n v="13"/>
    <s v="Merchant_016"/>
    <s v="bill_payment"/>
    <s v="West"/>
    <n v="2E-3"/>
  </r>
  <r>
    <s v="TXN100233"/>
    <n v="89"/>
    <x v="38"/>
    <x v="231"/>
    <n v="299"/>
    <s v="UPI"/>
    <s v="captured"/>
    <n v="19"/>
    <s v="Merchant_039"/>
    <s v="entertainment"/>
    <s v="North"/>
    <n v="2E-3"/>
  </r>
  <r>
    <s v="TXN100234"/>
    <n v="91"/>
    <x v="33"/>
    <x v="232"/>
    <n v="49"/>
    <s v="UPI"/>
    <s v="captured"/>
    <n v="59"/>
    <s v="Merchant_032"/>
    <s v="food_delivery"/>
    <s v="West"/>
    <n v="2E-3"/>
  </r>
  <r>
    <s v="TXN100235"/>
    <n v="297"/>
    <x v="26"/>
    <x v="233"/>
    <n v="99"/>
    <s v="Card"/>
    <s v="chargeback"/>
    <n v="87"/>
    <s v="Merchant_029"/>
    <s v="ecommerce"/>
    <s v="North"/>
    <n v="1.4999999999999999E-2"/>
  </r>
  <r>
    <s v="TXN100236"/>
    <n v="326"/>
    <x v="12"/>
    <x v="234"/>
    <n v="499"/>
    <s v="Card"/>
    <s v="captured"/>
    <n v="41"/>
    <s v="Merchant_040"/>
    <s v="entertainment"/>
    <s v="South"/>
    <n v="1.4999999999999999E-2"/>
  </r>
  <r>
    <s v="TXN100237"/>
    <n v="78"/>
    <x v="26"/>
    <x v="235"/>
    <n v="149"/>
    <s v="UPI"/>
    <s v="captured"/>
    <n v="8"/>
    <s v="Merchant_029"/>
    <s v="ecommerce"/>
    <s v="North"/>
    <n v="2E-3"/>
  </r>
  <r>
    <s v="TXN100238"/>
    <n v="156"/>
    <x v="7"/>
    <x v="236"/>
    <n v="2999"/>
    <s v="Card"/>
    <s v="captured"/>
    <n v="75"/>
    <s v="Merchant_018"/>
    <s v="grocery"/>
    <s v="West"/>
    <n v="1.4999999999999999E-2"/>
  </r>
  <r>
    <s v="TXN100239"/>
    <n v="38"/>
    <x v="15"/>
    <x v="237"/>
    <n v="49"/>
    <s v="Wallet"/>
    <s v="failed"/>
    <n v="59"/>
    <s v="Merchant_020"/>
    <s v="food_delivery"/>
    <s v="East"/>
    <n v="6.4999999999999997E-3"/>
  </r>
  <r>
    <s v="TXN100240"/>
    <n v="189"/>
    <x v="13"/>
    <x v="238"/>
    <n v="99"/>
    <s v="UPI"/>
    <s v="failed"/>
    <n v="9"/>
    <s v="Merchant_019"/>
    <s v="grocery"/>
    <s v="North"/>
    <n v="2E-3"/>
  </r>
  <r>
    <s v="TXN100241"/>
    <n v="305"/>
    <x v="11"/>
    <x v="239"/>
    <n v="299"/>
    <s v="Card"/>
    <s v="captured"/>
    <n v="49"/>
    <s v="Merchant_033"/>
    <s v="bill_payment"/>
    <s v="East"/>
    <n v="1.4999999999999999E-2"/>
  </r>
  <r>
    <s v="TXN100242"/>
    <n v="22"/>
    <x v="26"/>
    <x v="240"/>
    <n v="799"/>
    <s v="UPI"/>
    <s v="captured"/>
    <n v="73"/>
    <s v="Merchant_029"/>
    <s v="ecommerce"/>
    <s v="North"/>
    <n v="2E-3"/>
  </r>
  <r>
    <s v="TXN100243"/>
    <n v="310"/>
    <x v="20"/>
    <x v="241"/>
    <n v="49"/>
    <s v="Card"/>
    <s v="captured"/>
    <n v="64"/>
    <s v="Merchant_031"/>
    <s v="bill_payment"/>
    <s v="East"/>
    <n v="1.4999999999999999E-2"/>
  </r>
  <r>
    <s v="TXN100244"/>
    <n v="53"/>
    <x v="3"/>
    <x v="242"/>
    <n v="299"/>
    <s v="UPI"/>
    <s v="captured"/>
    <n v="91"/>
    <s v="Merchant_022"/>
    <s v="travel"/>
    <s v="South"/>
    <n v="2E-3"/>
  </r>
  <r>
    <s v="TXN100245"/>
    <n v="89"/>
    <x v="4"/>
    <x v="243"/>
    <n v="149"/>
    <s v="Card"/>
    <s v="captured"/>
    <n v="31"/>
    <s v="Merchant_003"/>
    <s v="grocery"/>
    <s v="East"/>
    <n v="1.4999999999999999E-2"/>
  </r>
  <r>
    <s v="TXN100246"/>
    <n v="269"/>
    <x v="36"/>
    <x v="244"/>
    <n v="149"/>
    <s v="UPI"/>
    <s v="captured"/>
    <n v="78"/>
    <s v="Merchant_034"/>
    <s v="travel"/>
    <s v="South"/>
    <n v="2E-3"/>
  </r>
  <r>
    <s v="TXN100247"/>
    <n v="145"/>
    <x v="14"/>
    <x v="245"/>
    <n v="799"/>
    <s v="UPI"/>
    <s v="captured"/>
    <n v="52"/>
    <s v="Merchant_025"/>
    <s v="travel"/>
    <s v="South"/>
    <n v="2E-3"/>
  </r>
  <r>
    <s v="TXN100248"/>
    <n v="307"/>
    <x v="29"/>
    <x v="246"/>
    <n v="1499"/>
    <s v="UPI"/>
    <s v="captured"/>
    <n v="80"/>
    <s v="Merchant_004"/>
    <s v="ecommerce"/>
    <s v="East"/>
    <n v="2E-3"/>
  </r>
  <r>
    <s v="TXN100249"/>
    <n v="169"/>
    <x v="23"/>
    <x v="247"/>
    <n v="1499"/>
    <s v="Wallet"/>
    <s v="captured"/>
    <n v="71"/>
    <s v="Merchant_007"/>
    <s v="food_delivery"/>
    <s v="East"/>
    <n v="6.4999999999999997E-3"/>
  </r>
  <r>
    <s v="TXN100250"/>
    <n v="130"/>
    <x v="38"/>
    <x v="248"/>
    <n v="2999"/>
    <s v="Wallet"/>
    <s v="captured"/>
    <n v="19"/>
    <s v="Merchant_039"/>
    <s v="entertainment"/>
    <s v="North"/>
    <n v="6.4999999999999997E-3"/>
  </r>
  <r>
    <s v="TXN100251"/>
    <n v="340"/>
    <x v="34"/>
    <x v="249"/>
    <n v="49"/>
    <s v="Card"/>
    <s v="captured"/>
    <n v="44"/>
    <s v="Merchant_010"/>
    <s v="grocery"/>
    <s v="West"/>
    <n v="1.4999999999999999E-2"/>
  </r>
  <r>
    <s v="TXN100252"/>
    <n v="340"/>
    <x v="22"/>
    <x v="250"/>
    <n v="299"/>
    <s v="Card"/>
    <s v="captured"/>
    <n v="16"/>
    <s v="Merchant_026"/>
    <s v="food_delivery"/>
    <s v="East"/>
    <n v="1.4999999999999999E-2"/>
  </r>
  <r>
    <s v="TXN100253"/>
    <n v="159"/>
    <x v="25"/>
    <x v="251"/>
    <n v="49"/>
    <s v="UPI"/>
    <s v="captured"/>
    <n v="48"/>
    <s v="Merchant_036"/>
    <s v="entertainment"/>
    <s v="East"/>
    <n v="2E-3"/>
  </r>
  <r>
    <s v="TXN100254"/>
    <n v="66"/>
    <x v="36"/>
    <x v="252"/>
    <n v="799"/>
    <s v="UPI"/>
    <s v="captured"/>
    <n v="11"/>
    <s v="Merchant_034"/>
    <s v="travel"/>
    <s v="South"/>
    <n v="2E-3"/>
  </r>
  <r>
    <s v="TXN100255"/>
    <n v="261"/>
    <x v="31"/>
    <x v="253"/>
    <n v="799"/>
    <s v="Card"/>
    <s v="captured"/>
    <n v="2"/>
    <s v="Merchant_024"/>
    <s v="grocery"/>
    <s v="North"/>
    <n v="1.4999999999999999E-2"/>
  </r>
  <r>
    <s v="TXN100256"/>
    <n v="110"/>
    <x v="3"/>
    <x v="254"/>
    <n v="799"/>
    <s v="UPI"/>
    <s v="captured"/>
    <n v="98"/>
    <s v="Merchant_022"/>
    <s v="travel"/>
    <s v="South"/>
    <n v="2E-3"/>
  </r>
  <r>
    <s v="TXN100257"/>
    <n v="71"/>
    <x v="34"/>
    <x v="255"/>
    <n v="49"/>
    <s v="UPI"/>
    <s v="captured"/>
    <n v="9"/>
    <s v="Merchant_010"/>
    <s v="grocery"/>
    <s v="West"/>
    <n v="2E-3"/>
  </r>
  <r>
    <s v="TXN100258"/>
    <n v="277"/>
    <x v="36"/>
    <x v="256"/>
    <n v="49"/>
    <s v="UPI"/>
    <s v="captured"/>
    <n v="4"/>
    <s v="Merchant_034"/>
    <s v="travel"/>
    <s v="South"/>
    <n v="2E-3"/>
  </r>
  <r>
    <s v="TXN100259"/>
    <n v="317"/>
    <x v="39"/>
    <x v="257"/>
    <n v="499"/>
    <s v="Wallet"/>
    <s v="captured"/>
    <n v="76"/>
    <s v="Merchant_009"/>
    <s v="ecommerce"/>
    <s v="North"/>
    <n v="6.4999999999999997E-3"/>
  </r>
  <r>
    <s v="TXN100260"/>
    <n v="93"/>
    <x v="12"/>
    <x v="258"/>
    <n v="299"/>
    <s v="UPI"/>
    <s v="captured"/>
    <n v="21"/>
    <s v="Merchant_040"/>
    <s v="entertainment"/>
    <s v="South"/>
    <n v="2E-3"/>
  </r>
  <r>
    <s v="TXN100261"/>
    <n v="211"/>
    <x v="31"/>
    <x v="259"/>
    <n v="99"/>
    <s v="Netbanking"/>
    <s v="captured"/>
    <n v="86"/>
    <s v="Merchant_024"/>
    <s v="grocery"/>
    <s v="North"/>
    <n v="0.01"/>
  </r>
  <r>
    <s v="TXN100262"/>
    <n v="313"/>
    <x v="13"/>
    <x v="260"/>
    <n v="149"/>
    <s v="UPI"/>
    <s v="captured"/>
    <n v="96"/>
    <s v="Merchant_019"/>
    <s v="grocery"/>
    <s v="North"/>
    <n v="2E-3"/>
  </r>
  <r>
    <s v="TXN100263"/>
    <n v="274"/>
    <x v="0"/>
    <x v="261"/>
    <n v="49"/>
    <s v="Wallet"/>
    <s v="failed"/>
    <n v="39"/>
    <s v="Merchant_016"/>
    <s v="bill_payment"/>
    <s v="West"/>
    <n v="6.4999999999999997E-3"/>
  </r>
  <r>
    <s v="TXN100264"/>
    <n v="100"/>
    <x v="31"/>
    <x v="262"/>
    <n v="299"/>
    <s v="UPI"/>
    <s v="captured"/>
    <n v="86"/>
    <s v="Merchant_024"/>
    <s v="grocery"/>
    <s v="North"/>
    <n v="2E-3"/>
  </r>
  <r>
    <s v="TXN100265"/>
    <n v="145"/>
    <x v="14"/>
    <x v="263"/>
    <n v="2999"/>
    <s v="Wallet"/>
    <s v="captured"/>
    <n v="64"/>
    <s v="Merchant_025"/>
    <s v="travel"/>
    <s v="South"/>
    <n v="6.4999999999999997E-3"/>
  </r>
  <r>
    <s v="TXN100266"/>
    <n v="103"/>
    <x v="38"/>
    <x v="264"/>
    <n v="2999"/>
    <s v="Wallet"/>
    <s v="captured"/>
    <n v="17"/>
    <s v="Merchant_039"/>
    <s v="entertainment"/>
    <s v="North"/>
    <n v="6.4999999999999997E-3"/>
  </r>
  <r>
    <s v="TXN100267"/>
    <n v="329"/>
    <x v="20"/>
    <x v="265"/>
    <n v="299"/>
    <s v="Wallet"/>
    <s v="captured"/>
    <n v="47"/>
    <s v="Merchant_031"/>
    <s v="bill_payment"/>
    <s v="East"/>
    <n v="6.4999999999999997E-3"/>
  </r>
  <r>
    <s v="TXN100268"/>
    <n v="265"/>
    <x v="30"/>
    <x v="266"/>
    <n v="499"/>
    <s v="Netbanking"/>
    <s v="captured"/>
    <n v="36"/>
    <s v="Merchant_008"/>
    <s v="food_delivery"/>
    <s v="North"/>
    <n v="0.01"/>
  </r>
  <r>
    <s v="TXN100269"/>
    <n v="231"/>
    <x v="11"/>
    <x v="267"/>
    <n v="149"/>
    <s v="UPI"/>
    <s v="failed"/>
    <n v="18"/>
    <s v="Merchant_033"/>
    <s v="bill_payment"/>
    <s v="East"/>
    <n v="2E-3"/>
  </r>
  <r>
    <s v="TXN100270"/>
    <n v="114"/>
    <x v="26"/>
    <x v="268"/>
    <n v="799"/>
    <s v="UPI"/>
    <s v="chargeback"/>
    <n v="44"/>
    <s v="Merchant_029"/>
    <s v="ecommerce"/>
    <s v="North"/>
    <n v="2E-3"/>
  </r>
  <r>
    <s v="TXN100271"/>
    <n v="28"/>
    <x v="22"/>
    <x v="269"/>
    <n v="1499"/>
    <s v="UPI"/>
    <s v="failed"/>
    <n v="64"/>
    <s v="Merchant_026"/>
    <s v="food_delivery"/>
    <s v="East"/>
    <n v="2E-3"/>
  </r>
  <r>
    <s v="TXN100272"/>
    <n v="42"/>
    <x v="31"/>
    <x v="270"/>
    <n v="149"/>
    <s v="UPI"/>
    <s v="captured"/>
    <n v="28"/>
    <s v="Merchant_024"/>
    <s v="grocery"/>
    <s v="North"/>
    <n v="2E-3"/>
  </r>
  <r>
    <s v="TXN100273"/>
    <n v="51"/>
    <x v="3"/>
    <x v="271"/>
    <n v="799"/>
    <s v="UPI"/>
    <s v="captured"/>
    <n v="18"/>
    <s v="Merchant_022"/>
    <s v="travel"/>
    <s v="South"/>
    <n v="2E-3"/>
  </r>
  <r>
    <s v="TXN100274"/>
    <n v="242"/>
    <x v="39"/>
    <x v="272"/>
    <n v="149"/>
    <s v="UPI"/>
    <s v="captured"/>
    <n v="97"/>
    <s v="Merchant_009"/>
    <s v="ecommerce"/>
    <s v="North"/>
    <n v="2E-3"/>
  </r>
  <r>
    <s v="TXN100275"/>
    <n v="316"/>
    <x v="37"/>
    <x v="273"/>
    <n v="149"/>
    <s v="UPI"/>
    <s v="captured"/>
    <n v="10"/>
    <s v="Merchant_001"/>
    <s v="ecommerce"/>
    <s v="South"/>
    <n v="2E-3"/>
  </r>
  <r>
    <s v="TXN100276"/>
    <n v="77"/>
    <x v="25"/>
    <x v="274"/>
    <n v="149"/>
    <s v="UPI"/>
    <s v="captured"/>
    <n v="93"/>
    <s v="Merchant_036"/>
    <s v="entertainment"/>
    <s v="East"/>
    <n v="2E-3"/>
  </r>
  <r>
    <s v="TXN100277"/>
    <n v="57"/>
    <x v="13"/>
    <x v="275"/>
    <n v="49"/>
    <s v="UPI"/>
    <s v="captured"/>
    <n v="30"/>
    <s v="Merchant_019"/>
    <s v="grocery"/>
    <s v="North"/>
    <n v="2E-3"/>
  </r>
  <r>
    <s v="TXN100278"/>
    <n v="123"/>
    <x v="1"/>
    <x v="276"/>
    <n v="149"/>
    <s v="Netbanking"/>
    <s v="captured"/>
    <n v="81"/>
    <s v="Merchant_027"/>
    <s v="ecommerce"/>
    <s v="North"/>
    <n v="0.01"/>
  </r>
  <r>
    <s v="TXN100279"/>
    <n v="33"/>
    <x v="30"/>
    <x v="277"/>
    <n v="299"/>
    <s v="Wallet"/>
    <s v="captured"/>
    <n v="63"/>
    <s v="Merchant_008"/>
    <s v="food_delivery"/>
    <s v="North"/>
    <n v="6.4999999999999997E-3"/>
  </r>
  <r>
    <s v="TXN100280"/>
    <n v="324"/>
    <x v="11"/>
    <x v="278"/>
    <n v="499"/>
    <s v="UPI"/>
    <s v="captured"/>
    <n v="73"/>
    <s v="Merchant_033"/>
    <s v="bill_payment"/>
    <s v="East"/>
    <n v="2E-3"/>
  </r>
  <r>
    <s v="TXN100281"/>
    <n v="150"/>
    <x v="10"/>
    <x v="279"/>
    <n v="49"/>
    <s v="UPI"/>
    <s v="failed"/>
    <n v="0"/>
    <s v="Merchant_028"/>
    <s v="ecommerce"/>
    <s v="South"/>
    <n v="2E-3"/>
  </r>
  <r>
    <s v="TXN100282"/>
    <n v="293"/>
    <x v="1"/>
    <x v="280"/>
    <n v="4999"/>
    <s v="UPI"/>
    <s v="captured"/>
    <n v="23"/>
    <s v="Merchant_027"/>
    <s v="ecommerce"/>
    <s v="North"/>
    <n v="2E-3"/>
  </r>
  <r>
    <s v="TXN100283"/>
    <n v="269"/>
    <x v="31"/>
    <x v="281"/>
    <n v="49"/>
    <s v="Wallet"/>
    <s v="captured"/>
    <n v="8"/>
    <s v="Merchant_024"/>
    <s v="grocery"/>
    <s v="North"/>
    <n v="6.4999999999999997E-3"/>
  </r>
  <r>
    <s v="TXN100284"/>
    <n v="260"/>
    <x v="25"/>
    <x v="282"/>
    <n v="1499"/>
    <s v="UPI"/>
    <s v="captured"/>
    <n v="2"/>
    <s v="Merchant_036"/>
    <s v="entertainment"/>
    <s v="East"/>
    <n v="2E-3"/>
  </r>
  <r>
    <s v="TXN100285"/>
    <n v="326"/>
    <x v="14"/>
    <x v="283"/>
    <n v="49"/>
    <s v="UPI"/>
    <s v="captured"/>
    <n v="47"/>
    <s v="Merchant_025"/>
    <s v="travel"/>
    <s v="South"/>
    <n v="2E-3"/>
  </r>
  <r>
    <s v="TXN100286"/>
    <n v="183"/>
    <x v="32"/>
    <x v="284"/>
    <n v="49"/>
    <s v="Card"/>
    <s v="captured"/>
    <n v="44"/>
    <s v="Merchant_005"/>
    <s v="recharge"/>
    <s v="South"/>
    <n v="1.4999999999999999E-2"/>
  </r>
  <r>
    <s v="TXN100287"/>
    <n v="322"/>
    <x v="23"/>
    <x v="285"/>
    <n v="299"/>
    <s v="UPI"/>
    <s v="captured"/>
    <n v="98"/>
    <s v="Merchant_007"/>
    <s v="food_delivery"/>
    <s v="East"/>
    <n v="2E-3"/>
  </r>
  <r>
    <s v="TXN100288"/>
    <n v="171"/>
    <x v="39"/>
    <x v="286"/>
    <n v="299"/>
    <s v="UPI"/>
    <s v="captured"/>
    <n v="5"/>
    <s v="Merchant_009"/>
    <s v="ecommerce"/>
    <s v="North"/>
    <n v="2E-3"/>
  </r>
  <r>
    <s v="TXN100289"/>
    <n v="330"/>
    <x v="9"/>
    <x v="287"/>
    <n v="1499"/>
    <s v="Netbanking"/>
    <s v="captured"/>
    <n v="99"/>
    <s v="Merchant_012"/>
    <s v="ecommerce"/>
    <s v="East"/>
    <n v="0.01"/>
  </r>
  <r>
    <s v="TXN100290"/>
    <n v="246"/>
    <x v="9"/>
    <x v="288"/>
    <n v="99"/>
    <s v="Wallet"/>
    <s v="captured"/>
    <n v="17"/>
    <s v="Merchant_012"/>
    <s v="ecommerce"/>
    <s v="East"/>
    <n v="6.4999999999999997E-3"/>
  </r>
  <r>
    <s v="TXN100291"/>
    <n v="235"/>
    <x v="4"/>
    <x v="289"/>
    <n v="49"/>
    <s v="UPI"/>
    <s v="captured"/>
    <n v="37"/>
    <s v="Merchant_003"/>
    <s v="grocery"/>
    <s v="East"/>
    <n v="2E-3"/>
  </r>
  <r>
    <s v="TXN100292"/>
    <n v="103"/>
    <x v="4"/>
    <x v="290"/>
    <n v="499"/>
    <s v="UPI"/>
    <s v="captured"/>
    <n v="40"/>
    <s v="Merchant_003"/>
    <s v="grocery"/>
    <s v="East"/>
    <n v="2E-3"/>
  </r>
  <r>
    <s v="TXN100293"/>
    <n v="204"/>
    <x v="8"/>
    <x v="291"/>
    <n v="99"/>
    <s v="Wallet"/>
    <s v="captured"/>
    <n v="60"/>
    <s v="Merchant_035"/>
    <s v="recharge"/>
    <s v="East"/>
    <n v="6.4999999999999997E-3"/>
  </r>
  <r>
    <s v="TXN100294"/>
    <n v="332"/>
    <x v="6"/>
    <x v="292"/>
    <n v="49"/>
    <s v="Card"/>
    <s v="captured"/>
    <n v="36"/>
    <s v="Merchant_013"/>
    <s v="travel"/>
    <s v="East"/>
    <n v="1.4999999999999999E-2"/>
  </r>
  <r>
    <s v="TXN100295"/>
    <n v="336"/>
    <x v="3"/>
    <x v="293"/>
    <n v="499"/>
    <s v="UPI"/>
    <s v="captured"/>
    <n v="34"/>
    <s v="Merchant_022"/>
    <s v="travel"/>
    <s v="South"/>
    <n v="2E-3"/>
  </r>
  <r>
    <s v="TXN100296"/>
    <n v="205"/>
    <x v="26"/>
    <x v="294"/>
    <n v="99"/>
    <s v="Wallet"/>
    <s v="captured"/>
    <n v="49"/>
    <s v="Merchant_029"/>
    <s v="ecommerce"/>
    <s v="North"/>
    <n v="6.4999999999999997E-3"/>
  </r>
  <r>
    <s v="TXN100297"/>
    <n v="255"/>
    <x v="31"/>
    <x v="295"/>
    <n v="799"/>
    <s v="UPI"/>
    <s v="captured"/>
    <n v="66"/>
    <s v="Merchant_024"/>
    <s v="grocery"/>
    <s v="North"/>
    <n v="2E-3"/>
  </r>
  <r>
    <s v="TXN100298"/>
    <n v="218"/>
    <x v="18"/>
    <x v="296"/>
    <n v="99"/>
    <s v="UPI"/>
    <s v="captured"/>
    <n v="55"/>
    <s v="Merchant_006"/>
    <s v="food_delivery"/>
    <s v="South"/>
    <n v="2E-3"/>
  </r>
  <r>
    <s v="TXN100299"/>
    <n v="151"/>
    <x v="17"/>
    <x v="297"/>
    <n v="49"/>
    <s v="UPI"/>
    <s v="captured"/>
    <n v="13"/>
    <s v="Merchant_021"/>
    <s v="food_delivery"/>
    <s v="East"/>
    <n v="2E-3"/>
  </r>
  <r>
    <s v="TXN100300"/>
    <n v="152"/>
    <x v="15"/>
    <x v="298"/>
    <n v="49"/>
    <s v="UPI"/>
    <s v="captured"/>
    <n v="57"/>
    <s v="Merchant_020"/>
    <s v="food_delivery"/>
    <s v="East"/>
    <n v="2E-3"/>
  </r>
  <r>
    <s v="TXN100301"/>
    <n v="86"/>
    <x v="26"/>
    <x v="299"/>
    <n v="149"/>
    <s v="Card"/>
    <s v="captured"/>
    <n v="44"/>
    <s v="Merchant_029"/>
    <s v="ecommerce"/>
    <s v="North"/>
    <n v="1.4999999999999999E-2"/>
  </r>
  <r>
    <s v="TXN100302"/>
    <n v="181"/>
    <x v="12"/>
    <x v="300"/>
    <n v="149"/>
    <s v="UPI"/>
    <s v="captured"/>
    <n v="55"/>
    <s v="Merchant_040"/>
    <s v="entertainment"/>
    <s v="South"/>
    <n v="2E-3"/>
  </r>
  <r>
    <s v="TXN100303"/>
    <n v="30"/>
    <x v="32"/>
    <x v="301"/>
    <n v="299"/>
    <s v="UPI"/>
    <s v="captured"/>
    <n v="85"/>
    <s v="Merchant_005"/>
    <s v="recharge"/>
    <s v="South"/>
    <n v="2E-3"/>
  </r>
  <r>
    <s v="TXN100304"/>
    <n v="263"/>
    <x v="2"/>
    <x v="302"/>
    <n v="149"/>
    <s v="Wallet"/>
    <s v="captured"/>
    <n v="3"/>
    <s v="Merchant_011"/>
    <s v="ecommerce"/>
    <s v="North"/>
    <n v="6.4999999999999997E-3"/>
  </r>
  <r>
    <s v="TXN100305"/>
    <n v="225"/>
    <x v="4"/>
    <x v="303"/>
    <n v="99"/>
    <s v="Netbanking"/>
    <s v="captured"/>
    <n v="16"/>
    <s v="Merchant_003"/>
    <s v="grocery"/>
    <s v="East"/>
    <n v="0.01"/>
  </r>
  <r>
    <s v="TXN100306"/>
    <n v="331"/>
    <x v="31"/>
    <x v="304"/>
    <n v="49"/>
    <s v="Card"/>
    <s v="captured"/>
    <n v="46"/>
    <s v="Merchant_024"/>
    <s v="grocery"/>
    <s v="North"/>
    <n v="1.4999999999999999E-2"/>
  </r>
  <r>
    <s v="TXN100307"/>
    <n v="310"/>
    <x v="34"/>
    <x v="305"/>
    <n v="1499"/>
    <s v="Card"/>
    <s v="captured"/>
    <n v="86"/>
    <s v="Merchant_010"/>
    <s v="grocery"/>
    <s v="West"/>
    <n v="1.4999999999999999E-2"/>
  </r>
  <r>
    <s v="TXN100308"/>
    <n v="228"/>
    <x v="32"/>
    <x v="306"/>
    <n v="49"/>
    <s v="UPI"/>
    <s v="captured"/>
    <n v="73"/>
    <s v="Merchant_005"/>
    <s v="recharge"/>
    <s v="South"/>
    <n v="2E-3"/>
  </r>
  <r>
    <s v="TXN100309"/>
    <n v="204"/>
    <x v="17"/>
    <x v="307"/>
    <n v="499"/>
    <s v="UPI"/>
    <s v="captured"/>
    <n v="83"/>
    <s v="Merchant_021"/>
    <s v="food_delivery"/>
    <s v="East"/>
    <n v="2E-3"/>
  </r>
  <r>
    <s v="TXN100310"/>
    <n v="14"/>
    <x v="9"/>
    <x v="79"/>
    <n v="799"/>
    <s v="Netbanking"/>
    <s v="captured"/>
    <n v="63"/>
    <s v="Merchant_012"/>
    <s v="ecommerce"/>
    <s v="East"/>
    <n v="0.01"/>
  </r>
  <r>
    <s v="TXN100311"/>
    <n v="288"/>
    <x v="30"/>
    <x v="308"/>
    <n v="49"/>
    <s v="UPI"/>
    <s v="captured"/>
    <n v="33"/>
    <s v="Merchant_008"/>
    <s v="food_delivery"/>
    <s v="North"/>
    <n v="2E-3"/>
  </r>
  <r>
    <s v="TXN100312"/>
    <n v="229"/>
    <x v="16"/>
    <x v="309"/>
    <n v="1499"/>
    <s v="UPI"/>
    <s v="captured"/>
    <n v="78"/>
    <s v="Merchant_014"/>
    <s v="grocery"/>
    <s v="East"/>
    <n v="2E-3"/>
  </r>
  <r>
    <s v="TXN100313"/>
    <n v="252"/>
    <x v="6"/>
    <x v="310"/>
    <n v="99"/>
    <s v="Wallet"/>
    <s v="captured"/>
    <n v="15"/>
    <s v="Merchant_013"/>
    <s v="travel"/>
    <s v="East"/>
    <n v="6.4999999999999997E-3"/>
  </r>
  <r>
    <s v="TXN100314"/>
    <n v="89"/>
    <x v="26"/>
    <x v="311"/>
    <n v="799"/>
    <s v="UPI"/>
    <s v="captured"/>
    <n v="11"/>
    <s v="Merchant_029"/>
    <s v="ecommerce"/>
    <s v="North"/>
    <n v="2E-3"/>
  </r>
  <r>
    <s v="TXN100315"/>
    <n v="164"/>
    <x v="5"/>
    <x v="312"/>
    <n v="49"/>
    <s v="Netbanking"/>
    <s v="captured"/>
    <n v="90"/>
    <s v="Merchant_023"/>
    <s v="travel"/>
    <s v="North"/>
    <n v="0.01"/>
  </r>
  <r>
    <s v="TXN100316"/>
    <n v="149"/>
    <x v="15"/>
    <x v="313"/>
    <n v="299"/>
    <s v="Wallet"/>
    <s v="captured"/>
    <n v="20"/>
    <s v="Merchant_020"/>
    <s v="food_delivery"/>
    <s v="East"/>
    <n v="6.4999999999999997E-3"/>
  </r>
  <r>
    <s v="TXN100317"/>
    <n v="327"/>
    <x v="9"/>
    <x v="314"/>
    <n v="49"/>
    <s v="Netbanking"/>
    <s v="captured"/>
    <n v="46"/>
    <s v="Merchant_012"/>
    <s v="ecommerce"/>
    <s v="East"/>
    <n v="0.01"/>
  </r>
  <r>
    <s v="TXN100318"/>
    <n v="103"/>
    <x v="39"/>
    <x v="315"/>
    <n v="149"/>
    <s v="UPI"/>
    <s v="captured"/>
    <n v="30"/>
    <s v="Merchant_009"/>
    <s v="ecommerce"/>
    <s v="North"/>
    <n v="2E-3"/>
  </r>
  <r>
    <s v="TXN100319"/>
    <n v="185"/>
    <x v="25"/>
    <x v="316"/>
    <n v="49"/>
    <s v="Wallet"/>
    <s v="captured"/>
    <n v="73"/>
    <s v="Merchant_036"/>
    <s v="entertainment"/>
    <s v="East"/>
    <n v="6.4999999999999997E-3"/>
  </r>
  <r>
    <s v="TXN100320"/>
    <n v="283"/>
    <x v="39"/>
    <x v="317"/>
    <n v="299"/>
    <s v="UPI"/>
    <s v="captured"/>
    <n v="78"/>
    <s v="Merchant_009"/>
    <s v="ecommerce"/>
    <s v="North"/>
    <n v="2E-3"/>
  </r>
  <r>
    <s v="TXN100321"/>
    <n v="159"/>
    <x v="22"/>
    <x v="318"/>
    <n v="99"/>
    <s v="UPI"/>
    <s v="captured"/>
    <n v="91"/>
    <s v="Merchant_026"/>
    <s v="food_delivery"/>
    <s v="East"/>
    <n v="2E-3"/>
  </r>
  <r>
    <s v="TXN100322"/>
    <n v="211"/>
    <x v="1"/>
    <x v="319"/>
    <n v="99"/>
    <s v="Wallet"/>
    <s v="captured"/>
    <n v="73"/>
    <s v="Merchant_027"/>
    <s v="ecommerce"/>
    <s v="North"/>
    <n v="6.4999999999999997E-3"/>
  </r>
  <r>
    <s v="TXN100323"/>
    <n v="329"/>
    <x v="32"/>
    <x v="320"/>
    <n v="499"/>
    <s v="Netbanking"/>
    <s v="captured"/>
    <n v="57"/>
    <s v="Merchant_005"/>
    <s v="recharge"/>
    <s v="South"/>
    <n v="0.01"/>
  </r>
  <r>
    <s v="TXN100324"/>
    <n v="177"/>
    <x v="39"/>
    <x v="321"/>
    <n v="99"/>
    <s v="UPI"/>
    <s v="captured"/>
    <n v="99"/>
    <s v="Merchant_009"/>
    <s v="ecommerce"/>
    <s v="North"/>
    <n v="2E-3"/>
  </r>
  <r>
    <s v="TXN100325"/>
    <n v="94"/>
    <x v="39"/>
    <x v="322"/>
    <n v="299"/>
    <s v="UPI"/>
    <s v="captured"/>
    <n v="55"/>
    <s v="Merchant_009"/>
    <s v="ecommerce"/>
    <s v="North"/>
    <n v="2E-3"/>
  </r>
  <r>
    <s v="TXN100326"/>
    <n v="64"/>
    <x v="36"/>
    <x v="323"/>
    <n v="299"/>
    <s v="UPI"/>
    <s v="captured"/>
    <n v="19"/>
    <s v="Merchant_034"/>
    <s v="travel"/>
    <s v="South"/>
    <n v="2E-3"/>
  </r>
  <r>
    <s v="TXN100327"/>
    <n v="166"/>
    <x v="19"/>
    <x v="324"/>
    <n v="49"/>
    <s v="UPI"/>
    <s v="captured"/>
    <n v="44"/>
    <s v="Merchant_015"/>
    <s v="travel"/>
    <s v="North"/>
    <n v="2E-3"/>
  </r>
  <r>
    <s v="TXN100328"/>
    <n v="41"/>
    <x v="28"/>
    <x v="325"/>
    <n v="299"/>
    <s v="Wallet"/>
    <s v="captured"/>
    <n v="25"/>
    <s v="Merchant_017"/>
    <s v="grocery"/>
    <s v="North"/>
    <n v="6.4999999999999997E-3"/>
  </r>
  <r>
    <s v="TXN100329"/>
    <n v="65"/>
    <x v="15"/>
    <x v="326"/>
    <n v="99"/>
    <s v="Card"/>
    <s v="captured"/>
    <n v="78"/>
    <s v="Merchant_020"/>
    <s v="food_delivery"/>
    <s v="East"/>
    <n v="1.4999999999999999E-2"/>
  </r>
  <r>
    <s v="TXN100330"/>
    <n v="329"/>
    <x v="2"/>
    <x v="327"/>
    <n v="499"/>
    <s v="UPI"/>
    <s v="captured"/>
    <n v="75"/>
    <s v="Merchant_011"/>
    <s v="ecommerce"/>
    <s v="North"/>
    <n v="2E-3"/>
  </r>
  <r>
    <s v="TXN100331"/>
    <n v="338"/>
    <x v="12"/>
    <x v="328"/>
    <n v="149"/>
    <s v="UPI"/>
    <s v="captured"/>
    <n v="92"/>
    <s v="Merchant_040"/>
    <s v="entertainment"/>
    <s v="South"/>
    <n v="2E-3"/>
  </r>
  <r>
    <s v="TXN100332"/>
    <n v="289"/>
    <x v="4"/>
    <x v="329"/>
    <n v="49"/>
    <s v="Netbanking"/>
    <s v="captured"/>
    <n v="3"/>
    <s v="Merchant_003"/>
    <s v="grocery"/>
    <s v="East"/>
    <n v="0.01"/>
  </r>
  <r>
    <s v="TXN100333"/>
    <n v="296"/>
    <x v="28"/>
    <x v="330"/>
    <n v="99"/>
    <s v="UPI"/>
    <s v="captured"/>
    <n v="83"/>
    <s v="Merchant_017"/>
    <s v="grocery"/>
    <s v="North"/>
    <n v="2E-3"/>
  </r>
  <r>
    <s v="TXN100334"/>
    <n v="317"/>
    <x v="27"/>
    <x v="331"/>
    <n v="499"/>
    <s v="Card"/>
    <s v="captured"/>
    <n v="63"/>
    <s v="Merchant_002"/>
    <s v="grocery"/>
    <s v="West"/>
    <n v="1.4999999999999999E-2"/>
  </r>
  <r>
    <s v="TXN100335"/>
    <n v="149"/>
    <x v="15"/>
    <x v="332"/>
    <n v="499"/>
    <s v="Card"/>
    <s v="captured"/>
    <n v="61"/>
    <s v="Merchant_020"/>
    <s v="food_delivery"/>
    <s v="East"/>
    <n v="1.4999999999999999E-2"/>
  </r>
  <r>
    <s v="TXN100336"/>
    <n v="153"/>
    <x v="24"/>
    <x v="333"/>
    <n v="299"/>
    <s v="UPI"/>
    <s v="captured"/>
    <n v="9"/>
    <s v="Merchant_030"/>
    <s v="travel"/>
    <s v="West"/>
    <n v="2E-3"/>
  </r>
  <r>
    <s v="TXN100337"/>
    <n v="226"/>
    <x v="1"/>
    <x v="334"/>
    <n v="2999"/>
    <s v="UPI"/>
    <s v="chargeback"/>
    <n v="61"/>
    <s v="Merchant_027"/>
    <s v="ecommerce"/>
    <s v="North"/>
    <n v="2E-3"/>
  </r>
  <r>
    <s v="TXN100338"/>
    <n v="311"/>
    <x v="34"/>
    <x v="335"/>
    <n v="2999"/>
    <s v="UPI"/>
    <s v="captured"/>
    <n v="40"/>
    <s v="Merchant_010"/>
    <s v="grocery"/>
    <s v="West"/>
    <n v="2E-3"/>
  </r>
  <r>
    <s v="TXN100339"/>
    <n v="177"/>
    <x v="22"/>
    <x v="336"/>
    <n v="1499"/>
    <s v="UPI"/>
    <s v="captured"/>
    <n v="16"/>
    <s v="Merchant_026"/>
    <s v="food_delivery"/>
    <s v="East"/>
    <n v="2E-3"/>
  </r>
  <r>
    <s v="TXN100340"/>
    <n v="288"/>
    <x v="23"/>
    <x v="337"/>
    <n v="99"/>
    <s v="Netbanking"/>
    <s v="captured"/>
    <n v="40"/>
    <s v="Merchant_007"/>
    <s v="food_delivery"/>
    <s v="East"/>
    <n v="0.01"/>
  </r>
  <r>
    <s v="TXN100341"/>
    <n v="137"/>
    <x v="26"/>
    <x v="338"/>
    <n v="2999"/>
    <s v="UPI"/>
    <s v="failed"/>
    <n v="31"/>
    <s v="Merchant_029"/>
    <s v="ecommerce"/>
    <s v="North"/>
    <n v="2E-3"/>
  </r>
  <r>
    <s v="TXN100342"/>
    <n v="149"/>
    <x v="14"/>
    <x v="339"/>
    <n v="1499"/>
    <s v="UPI"/>
    <s v="captured"/>
    <n v="78"/>
    <s v="Merchant_025"/>
    <s v="travel"/>
    <s v="South"/>
    <n v="2E-3"/>
  </r>
  <r>
    <s v="TXN100343"/>
    <n v="82"/>
    <x v="17"/>
    <x v="340"/>
    <n v="49"/>
    <s v="Wallet"/>
    <s v="captured"/>
    <n v="73"/>
    <s v="Merchant_021"/>
    <s v="food_delivery"/>
    <s v="East"/>
    <n v="6.4999999999999997E-3"/>
  </r>
  <r>
    <s v="TXN100344"/>
    <n v="82"/>
    <x v="33"/>
    <x v="341"/>
    <n v="49"/>
    <s v="UPI"/>
    <s v="captured"/>
    <n v="65"/>
    <s v="Merchant_032"/>
    <s v="food_delivery"/>
    <s v="West"/>
    <n v="2E-3"/>
  </r>
  <r>
    <s v="TXN100345"/>
    <n v="158"/>
    <x v="33"/>
    <x v="342"/>
    <n v="99"/>
    <s v="Wallet"/>
    <s v="captured"/>
    <n v="2"/>
    <s v="Merchant_032"/>
    <s v="food_delivery"/>
    <s v="West"/>
    <n v="6.4999999999999997E-3"/>
  </r>
  <r>
    <s v="TXN100346"/>
    <n v="235"/>
    <x v="0"/>
    <x v="343"/>
    <n v="99"/>
    <s v="UPI"/>
    <s v="captured"/>
    <n v="27"/>
    <s v="Merchant_016"/>
    <s v="bill_payment"/>
    <s v="West"/>
    <n v="2E-3"/>
  </r>
  <r>
    <s v="TXN100347"/>
    <n v="26"/>
    <x v="13"/>
    <x v="344"/>
    <n v="99"/>
    <s v="Wallet"/>
    <s v="captured"/>
    <n v="63"/>
    <s v="Merchant_019"/>
    <s v="grocery"/>
    <s v="North"/>
    <n v="6.4999999999999997E-3"/>
  </r>
  <r>
    <s v="TXN100348"/>
    <n v="241"/>
    <x v="13"/>
    <x v="345"/>
    <n v="299"/>
    <s v="UPI"/>
    <s v="captured"/>
    <n v="68"/>
    <s v="Merchant_019"/>
    <s v="grocery"/>
    <s v="North"/>
    <n v="2E-3"/>
  </r>
  <r>
    <s v="TXN100349"/>
    <n v="69"/>
    <x v="28"/>
    <x v="346"/>
    <n v="1499"/>
    <s v="UPI"/>
    <s v="captured"/>
    <n v="93"/>
    <s v="Merchant_017"/>
    <s v="grocery"/>
    <s v="North"/>
    <n v="2E-3"/>
  </r>
  <r>
    <s v="TXN100350"/>
    <n v="24"/>
    <x v="22"/>
    <x v="347"/>
    <n v="299"/>
    <s v="Netbanking"/>
    <s v="captured"/>
    <n v="6"/>
    <s v="Merchant_026"/>
    <s v="food_delivery"/>
    <s v="East"/>
    <n v="0.01"/>
  </r>
  <r>
    <s v="TXN100351"/>
    <n v="186"/>
    <x v="25"/>
    <x v="348"/>
    <n v="4999"/>
    <s v="UPI"/>
    <s v="captured"/>
    <n v="36"/>
    <s v="Merchant_036"/>
    <s v="entertainment"/>
    <s v="East"/>
    <n v="2E-3"/>
  </r>
  <r>
    <s v="TXN100352"/>
    <n v="231"/>
    <x v="25"/>
    <x v="343"/>
    <n v="149"/>
    <s v="UPI"/>
    <s v="captured"/>
    <n v="35"/>
    <s v="Merchant_036"/>
    <s v="entertainment"/>
    <s v="East"/>
    <n v="2E-3"/>
  </r>
  <r>
    <s v="TXN100353"/>
    <n v="313"/>
    <x v="30"/>
    <x v="349"/>
    <n v="1499"/>
    <s v="Netbanking"/>
    <s v="captured"/>
    <n v="16"/>
    <s v="Merchant_008"/>
    <s v="food_delivery"/>
    <s v="North"/>
    <n v="0.01"/>
  </r>
  <r>
    <s v="TXN100354"/>
    <n v="174"/>
    <x v="25"/>
    <x v="350"/>
    <n v="149"/>
    <s v="UPI"/>
    <s v="captured"/>
    <n v="46"/>
    <s v="Merchant_036"/>
    <s v="entertainment"/>
    <s v="East"/>
    <n v="2E-3"/>
  </r>
  <r>
    <s v="TXN100355"/>
    <n v="309"/>
    <x v="11"/>
    <x v="351"/>
    <n v="99"/>
    <s v="UPI"/>
    <s v="captured"/>
    <n v="51"/>
    <s v="Merchant_033"/>
    <s v="bill_payment"/>
    <s v="East"/>
    <n v="2E-3"/>
  </r>
  <r>
    <s v="TXN100356"/>
    <n v="20"/>
    <x v="39"/>
    <x v="352"/>
    <n v="99"/>
    <s v="UPI"/>
    <s v="captured"/>
    <n v="91"/>
    <s v="Merchant_009"/>
    <s v="ecommerce"/>
    <s v="North"/>
    <n v="2E-3"/>
  </r>
  <r>
    <s v="TXN100357"/>
    <n v="234"/>
    <x v="34"/>
    <x v="353"/>
    <n v="49"/>
    <s v="UPI"/>
    <s v="captured"/>
    <n v="77"/>
    <s v="Merchant_010"/>
    <s v="grocery"/>
    <s v="West"/>
    <n v="2E-3"/>
  </r>
  <r>
    <s v="TXN100358"/>
    <n v="168"/>
    <x v="12"/>
    <x v="354"/>
    <n v="149"/>
    <s v="UPI"/>
    <s v="chargeback"/>
    <n v="40"/>
    <s v="Merchant_040"/>
    <s v="entertainment"/>
    <s v="South"/>
    <n v="2E-3"/>
  </r>
  <r>
    <s v="TXN100359"/>
    <n v="154"/>
    <x v="35"/>
    <x v="355"/>
    <n v="99"/>
    <s v="Netbanking"/>
    <s v="captured"/>
    <n v="43"/>
    <s v="Merchant_038"/>
    <s v="grocery"/>
    <s v="East"/>
    <n v="0.01"/>
  </r>
  <r>
    <s v="TXN100360"/>
    <n v="251"/>
    <x v="21"/>
    <x v="356"/>
    <n v="49"/>
    <s v="UPI"/>
    <s v="captured"/>
    <n v="38"/>
    <s v="Merchant_037"/>
    <s v="entertainment"/>
    <s v="South"/>
    <n v="2E-3"/>
  </r>
  <r>
    <s v="TXN100361"/>
    <n v="170"/>
    <x v="30"/>
    <x v="357"/>
    <n v="2999"/>
    <s v="UPI"/>
    <s v="captured"/>
    <n v="53"/>
    <s v="Merchant_008"/>
    <s v="food_delivery"/>
    <s v="North"/>
    <n v="2E-3"/>
  </r>
  <r>
    <s v="TXN100362"/>
    <n v="323"/>
    <x v="27"/>
    <x v="358"/>
    <n v="49"/>
    <s v="Netbanking"/>
    <s v="captured"/>
    <n v="76"/>
    <s v="Merchant_002"/>
    <s v="grocery"/>
    <s v="West"/>
    <n v="0.01"/>
  </r>
  <r>
    <s v="TXN100363"/>
    <n v="297"/>
    <x v="21"/>
    <x v="359"/>
    <n v="2999"/>
    <s v="Wallet"/>
    <s v="captured"/>
    <n v="29"/>
    <s v="Merchant_037"/>
    <s v="entertainment"/>
    <s v="South"/>
    <n v="6.4999999999999997E-3"/>
  </r>
  <r>
    <s v="TXN100364"/>
    <n v="246"/>
    <x v="2"/>
    <x v="360"/>
    <n v="299"/>
    <s v="UPI"/>
    <s v="captured"/>
    <n v="67"/>
    <s v="Merchant_011"/>
    <s v="ecommerce"/>
    <s v="North"/>
    <n v="2E-3"/>
  </r>
  <r>
    <s v="TXN100365"/>
    <n v="195"/>
    <x v="34"/>
    <x v="361"/>
    <n v="99"/>
    <s v="UPI"/>
    <s v="captured"/>
    <n v="87"/>
    <s v="Merchant_010"/>
    <s v="grocery"/>
    <s v="West"/>
    <n v="2E-3"/>
  </r>
  <r>
    <s v="TXN100366"/>
    <n v="57"/>
    <x v="6"/>
    <x v="362"/>
    <n v="149"/>
    <s v="UPI"/>
    <s v="captured"/>
    <n v="2"/>
    <s v="Merchant_013"/>
    <s v="travel"/>
    <s v="East"/>
    <n v="2E-3"/>
  </r>
  <r>
    <s v="TXN100367"/>
    <n v="78"/>
    <x v="1"/>
    <x v="363"/>
    <n v="1499"/>
    <s v="Netbanking"/>
    <s v="failed"/>
    <n v="88"/>
    <s v="Merchant_027"/>
    <s v="ecommerce"/>
    <s v="North"/>
    <n v="0.01"/>
  </r>
  <r>
    <s v="TXN100368"/>
    <n v="314"/>
    <x v="20"/>
    <x v="364"/>
    <n v="49"/>
    <s v="UPI"/>
    <s v="chargeback"/>
    <n v="94"/>
    <s v="Merchant_031"/>
    <s v="bill_payment"/>
    <s v="East"/>
    <n v="2E-3"/>
  </r>
  <r>
    <s v="TXN100369"/>
    <n v="71"/>
    <x v="36"/>
    <x v="365"/>
    <n v="499"/>
    <s v="UPI"/>
    <s v="captured"/>
    <n v="26"/>
    <s v="Merchant_034"/>
    <s v="travel"/>
    <s v="South"/>
    <n v="2E-3"/>
  </r>
  <r>
    <s v="TXN100370"/>
    <n v="245"/>
    <x v="36"/>
    <x v="366"/>
    <n v="99"/>
    <s v="UPI"/>
    <s v="captured"/>
    <n v="48"/>
    <s v="Merchant_034"/>
    <s v="travel"/>
    <s v="South"/>
    <n v="2E-3"/>
  </r>
  <r>
    <s v="TXN100371"/>
    <n v="273"/>
    <x v="3"/>
    <x v="367"/>
    <n v="299"/>
    <s v="Wallet"/>
    <s v="captured"/>
    <n v="69"/>
    <s v="Merchant_022"/>
    <s v="travel"/>
    <s v="South"/>
    <n v="6.4999999999999997E-3"/>
  </r>
  <r>
    <s v="TXN100372"/>
    <n v="349"/>
    <x v="28"/>
    <x v="368"/>
    <n v="1499"/>
    <s v="UPI"/>
    <s v="captured"/>
    <n v="78"/>
    <s v="Merchant_017"/>
    <s v="grocery"/>
    <s v="North"/>
    <n v="2E-3"/>
  </r>
  <r>
    <s v="TXN100373"/>
    <n v="143"/>
    <x v="25"/>
    <x v="369"/>
    <n v="1499"/>
    <s v="Netbanking"/>
    <s v="captured"/>
    <n v="38"/>
    <s v="Merchant_036"/>
    <s v="entertainment"/>
    <s v="East"/>
    <n v="0.01"/>
  </r>
  <r>
    <s v="TXN100374"/>
    <n v="148"/>
    <x v="16"/>
    <x v="370"/>
    <n v="799"/>
    <s v="Wallet"/>
    <s v="captured"/>
    <n v="88"/>
    <s v="Merchant_014"/>
    <s v="grocery"/>
    <s v="East"/>
    <n v="6.4999999999999997E-3"/>
  </r>
  <r>
    <s v="TXN100375"/>
    <n v="246"/>
    <x v="5"/>
    <x v="371"/>
    <n v="49"/>
    <s v="UPI"/>
    <s v="captured"/>
    <n v="71"/>
    <s v="Merchant_023"/>
    <s v="travel"/>
    <s v="North"/>
    <n v="2E-3"/>
  </r>
  <r>
    <s v="TXN100376"/>
    <n v="148"/>
    <x v="30"/>
    <x v="372"/>
    <n v="99"/>
    <s v="Wallet"/>
    <s v="captured"/>
    <n v="73"/>
    <s v="Merchant_008"/>
    <s v="food_delivery"/>
    <s v="North"/>
    <n v="6.4999999999999997E-3"/>
  </r>
  <r>
    <s v="TXN100377"/>
    <n v="203"/>
    <x v="5"/>
    <x v="373"/>
    <n v="49"/>
    <s v="UPI"/>
    <s v="captured"/>
    <n v="98"/>
    <s v="Merchant_023"/>
    <s v="travel"/>
    <s v="North"/>
    <n v="2E-3"/>
  </r>
  <r>
    <s v="TXN100378"/>
    <n v="22"/>
    <x v="13"/>
    <x v="374"/>
    <n v="49"/>
    <s v="Card"/>
    <s v="captured"/>
    <n v="91"/>
    <s v="Merchant_019"/>
    <s v="grocery"/>
    <s v="North"/>
    <n v="1.4999999999999999E-2"/>
  </r>
  <r>
    <s v="TXN100379"/>
    <n v="227"/>
    <x v="28"/>
    <x v="375"/>
    <n v="299"/>
    <s v="Wallet"/>
    <s v="captured"/>
    <n v="95"/>
    <s v="Merchant_017"/>
    <s v="grocery"/>
    <s v="North"/>
    <n v="6.4999999999999997E-3"/>
  </r>
  <r>
    <s v="TXN100380"/>
    <n v="276"/>
    <x v="7"/>
    <x v="376"/>
    <n v="149"/>
    <s v="Wallet"/>
    <s v="captured"/>
    <n v="71"/>
    <s v="Merchant_018"/>
    <s v="grocery"/>
    <s v="West"/>
    <n v="6.4999999999999997E-3"/>
  </r>
  <r>
    <s v="TXN100381"/>
    <n v="56"/>
    <x v="12"/>
    <x v="377"/>
    <n v="99"/>
    <s v="Card"/>
    <s v="captured"/>
    <n v="94"/>
    <s v="Merchant_040"/>
    <s v="entertainment"/>
    <s v="South"/>
    <n v="1.4999999999999999E-2"/>
  </r>
  <r>
    <s v="TXN100382"/>
    <n v="26"/>
    <x v="36"/>
    <x v="378"/>
    <n v="499"/>
    <s v="Card"/>
    <s v="captured"/>
    <n v="28"/>
    <s v="Merchant_034"/>
    <s v="travel"/>
    <s v="South"/>
    <n v="1.4999999999999999E-2"/>
  </r>
  <r>
    <s v="TXN100383"/>
    <n v="52"/>
    <x v="1"/>
    <x v="379"/>
    <n v="499"/>
    <s v="Card"/>
    <s v="captured"/>
    <n v="42"/>
    <s v="Merchant_027"/>
    <s v="ecommerce"/>
    <s v="North"/>
    <n v="1.4999999999999999E-2"/>
  </r>
  <r>
    <s v="TXN100384"/>
    <n v="349"/>
    <x v="39"/>
    <x v="380"/>
    <n v="499"/>
    <s v="Wallet"/>
    <s v="captured"/>
    <n v="0"/>
    <s v="Merchant_009"/>
    <s v="ecommerce"/>
    <s v="North"/>
    <n v="6.4999999999999997E-3"/>
  </r>
  <r>
    <s v="TXN100385"/>
    <n v="335"/>
    <x v="20"/>
    <x v="381"/>
    <n v="49"/>
    <s v="Card"/>
    <s v="captured"/>
    <n v="61"/>
    <s v="Merchant_031"/>
    <s v="bill_payment"/>
    <s v="East"/>
    <n v="1.4999999999999999E-2"/>
  </r>
  <r>
    <s v="TXN100386"/>
    <n v="148"/>
    <x v="17"/>
    <x v="382"/>
    <n v="49"/>
    <s v="Card"/>
    <s v="captured"/>
    <n v="36"/>
    <s v="Merchant_021"/>
    <s v="food_delivery"/>
    <s v="East"/>
    <n v="1.4999999999999999E-2"/>
  </r>
  <r>
    <s v="TXN100387"/>
    <n v="46"/>
    <x v="21"/>
    <x v="383"/>
    <n v="99"/>
    <s v="Wallet"/>
    <s v="captured"/>
    <n v="29"/>
    <s v="Merchant_037"/>
    <s v="entertainment"/>
    <s v="South"/>
    <n v="6.4999999999999997E-3"/>
  </r>
  <r>
    <s v="TXN100388"/>
    <n v="20"/>
    <x v="9"/>
    <x v="384"/>
    <n v="799"/>
    <s v="Card"/>
    <s v="captured"/>
    <n v="53"/>
    <s v="Merchant_012"/>
    <s v="ecommerce"/>
    <s v="East"/>
    <n v="1.4999999999999999E-2"/>
  </r>
  <r>
    <s v="TXN100389"/>
    <n v="19"/>
    <x v="22"/>
    <x v="385"/>
    <n v="49"/>
    <s v="UPI"/>
    <s v="captured"/>
    <n v="100"/>
    <s v="Merchant_026"/>
    <s v="food_delivery"/>
    <s v="East"/>
    <n v="2E-3"/>
  </r>
  <r>
    <s v="TXN100390"/>
    <n v="149"/>
    <x v="4"/>
    <x v="386"/>
    <n v="4999"/>
    <s v="Wallet"/>
    <s v="captured"/>
    <n v="1"/>
    <s v="Merchant_003"/>
    <s v="grocery"/>
    <s v="East"/>
    <n v="6.4999999999999997E-3"/>
  </r>
  <r>
    <s v="TXN100391"/>
    <n v="55"/>
    <x v="3"/>
    <x v="387"/>
    <n v="499"/>
    <s v="UPI"/>
    <s v="captured"/>
    <n v="36"/>
    <s v="Merchant_022"/>
    <s v="travel"/>
    <s v="South"/>
    <n v="2E-3"/>
  </r>
  <r>
    <s v="TXN100392"/>
    <n v="269"/>
    <x v="33"/>
    <x v="388"/>
    <n v="49"/>
    <s v="Card"/>
    <s v="captured"/>
    <n v="17"/>
    <s v="Merchant_032"/>
    <s v="food_delivery"/>
    <s v="West"/>
    <n v="1.4999999999999999E-2"/>
  </r>
  <r>
    <s v="TXN100393"/>
    <n v="140"/>
    <x v="6"/>
    <x v="389"/>
    <n v="2999"/>
    <s v="UPI"/>
    <s v="captured"/>
    <n v="14"/>
    <s v="Merchant_013"/>
    <s v="travel"/>
    <s v="East"/>
    <n v="2E-3"/>
  </r>
  <r>
    <s v="TXN100394"/>
    <n v="235"/>
    <x v="28"/>
    <x v="390"/>
    <n v="2999"/>
    <s v="UPI"/>
    <s v="captured"/>
    <n v="91"/>
    <s v="Merchant_017"/>
    <s v="grocery"/>
    <s v="North"/>
    <n v="2E-3"/>
  </r>
  <r>
    <s v="TXN100395"/>
    <n v="173"/>
    <x v="13"/>
    <x v="391"/>
    <n v="499"/>
    <s v="UPI"/>
    <s v="failed"/>
    <n v="72"/>
    <s v="Merchant_019"/>
    <s v="grocery"/>
    <s v="North"/>
    <n v="2E-3"/>
  </r>
  <r>
    <s v="TXN100396"/>
    <n v="313"/>
    <x v="22"/>
    <x v="392"/>
    <n v="499"/>
    <s v="UPI"/>
    <s v="captured"/>
    <n v="54"/>
    <s v="Merchant_026"/>
    <s v="food_delivery"/>
    <s v="East"/>
    <n v="2E-3"/>
  </r>
  <r>
    <s v="TXN100397"/>
    <n v="206"/>
    <x v="23"/>
    <x v="393"/>
    <n v="149"/>
    <s v="Wallet"/>
    <s v="captured"/>
    <n v="23"/>
    <s v="Merchant_007"/>
    <s v="food_delivery"/>
    <s v="East"/>
    <n v="6.4999999999999997E-3"/>
  </r>
  <r>
    <s v="TXN100398"/>
    <n v="128"/>
    <x v="37"/>
    <x v="394"/>
    <n v="1499"/>
    <s v="Netbanking"/>
    <s v="captured"/>
    <n v="33"/>
    <s v="Merchant_001"/>
    <s v="ecommerce"/>
    <s v="South"/>
    <n v="0.01"/>
  </r>
  <r>
    <s v="TXN100399"/>
    <n v="137"/>
    <x v="3"/>
    <x v="395"/>
    <n v="799"/>
    <s v="UPI"/>
    <s v="failed"/>
    <n v="38"/>
    <s v="Merchant_022"/>
    <s v="travel"/>
    <s v="South"/>
    <n v="2E-3"/>
  </r>
  <r>
    <s v="TXN100400"/>
    <n v="6"/>
    <x v="28"/>
    <x v="396"/>
    <n v="49"/>
    <s v="UPI"/>
    <s v="captured"/>
    <n v="83"/>
    <s v="Merchant_017"/>
    <s v="grocery"/>
    <s v="North"/>
    <n v="2E-3"/>
  </r>
  <r>
    <s v="TXN100401"/>
    <n v="32"/>
    <x v="30"/>
    <x v="397"/>
    <n v="299"/>
    <s v="Card"/>
    <s v="captured"/>
    <n v="59"/>
    <s v="Merchant_008"/>
    <s v="food_delivery"/>
    <s v="North"/>
    <n v="1.4999999999999999E-2"/>
  </r>
  <r>
    <s v="TXN100402"/>
    <n v="258"/>
    <x v="15"/>
    <x v="398"/>
    <n v="149"/>
    <s v="UPI"/>
    <s v="captured"/>
    <n v="88"/>
    <s v="Merchant_020"/>
    <s v="food_delivery"/>
    <s v="East"/>
    <n v="2E-3"/>
  </r>
  <r>
    <s v="TXN100403"/>
    <n v="152"/>
    <x v="31"/>
    <x v="399"/>
    <n v="149"/>
    <s v="UPI"/>
    <s v="chargeback"/>
    <n v="78"/>
    <s v="Merchant_024"/>
    <s v="grocery"/>
    <s v="North"/>
    <n v="2E-3"/>
  </r>
  <r>
    <s v="TXN100404"/>
    <n v="245"/>
    <x v="34"/>
    <x v="400"/>
    <n v="799"/>
    <s v="Wallet"/>
    <s v="captured"/>
    <n v="58"/>
    <s v="Merchant_010"/>
    <s v="grocery"/>
    <s v="West"/>
    <n v="6.4999999999999997E-3"/>
  </r>
  <r>
    <s v="TXN100405"/>
    <n v="213"/>
    <x v="25"/>
    <x v="401"/>
    <n v="49"/>
    <s v="Wallet"/>
    <s v="captured"/>
    <n v="60"/>
    <s v="Merchant_036"/>
    <s v="entertainment"/>
    <s v="East"/>
    <n v="6.4999999999999997E-3"/>
  </r>
  <r>
    <s v="TXN100406"/>
    <n v="341"/>
    <x v="16"/>
    <x v="402"/>
    <n v="99"/>
    <s v="Netbanking"/>
    <s v="captured"/>
    <n v="97"/>
    <s v="Merchant_014"/>
    <s v="grocery"/>
    <s v="East"/>
    <n v="0.01"/>
  </r>
  <r>
    <s v="TXN100407"/>
    <n v="306"/>
    <x v="18"/>
    <x v="403"/>
    <n v="149"/>
    <s v="Netbanking"/>
    <s v="captured"/>
    <n v="67"/>
    <s v="Merchant_006"/>
    <s v="food_delivery"/>
    <s v="South"/>
    <n v="0.01"/>
  </r>
  <r>
    <s v="TXN100408"/>
    <n v="186"/>
    <x v="32"/>
    <x v="404"/>
    <n v="499"/>
    <s v="UPI"/>
    <s v="captured"/>
    <n v="72"/>
    <s v="Merchant_005"/>
    <s v="recharge"/>
    <s v="South"/>
    <n v="2E-3"/>
  </r>
  <r>
    <s v="TXN100409"/>
    <n v="281"/>
    <x v="11"/>
    <x v="405"/>
    <n v="4999"/>
    <s v="UPI"/>
    <s v="captured"/>
    <n v="25"/>
    <s v="Merchant_033"/>
    <s v="bill_payment"/>
    <s v="East"/>
    <n v="2E-3"/>
  </r>
  <r>
    <s v="TXN100410"/>
    <n v="85"/>
    <x v="17"/>
    <x v="406"/>
    <n v="99"/>
    <s v="UPI"/>
    <s v="captured"/>
    <n v="66"/>
    <s v="Merchant_021"/>
    <s v="food_delivery"/>
    <s v="East"/>
    <n v="2E-3"/>
  </r>
  <r>
    <s v="TXN100411"/>
    <n v="106"/>
    <x v="35"/>
    <x v="407"/>
    <n v="499"/>
    <s v="UPI"/>
    <s v="captured"/>
    <n v="62"/>
    <s v="Merchant_038"/>
    <s v="grocery"/>
    <s v="East"/>
    <n v="2E-3"/>
  </r>
  <r>
    <s v="TXN100412"/>
    <n v="29"/>
    <x v="24"/>
    <x v="408"/>
    <n v="149"/>
    <s v="Netbanking"/>
    <s v="captured"/>
    <n v="16"/>
    <s v="Merchant_030"/>
    <s v="travel"/>
    <s v="West"/>
    <n v="0.01"/>
  </r>
  <r>
    <s v="TXN100413"/>
    <n v="289"/>
    <x v="29"/>
    <x v="409"/>
    <n v="1499"/>
    <s v="Card"/>
    <s v="captured"/>
    <n v="71"/>
    <s v="Merchant_004"/>
    <s v="ecommerce"/>
    <s v="East"/>
    <n v="1.4999999999999999E-2"/>
  </r>
  <r>
    <s v="TXN100414"/>
    <n v="158"/>
    <x v="27"/>
    <x v="410"/>
    <n v="1499"/>
    <s v="Card"/>
    <s v="captured"/>
    <n v="50"/>
    <s v="Merchant_002"/>
    <s v="grocery"/>
    <s v="West"/>
    <n v="1.4999999999999999E-2"/>
  </r>
  <r>
    <s v="TXN100415"/>
    <n v="112"/>
    <x v="35"/>
    <x v="411"/>
    <n v="49"/>
    <s v="UPI"/>
    <s v="captured"/>
    <n v="9"/>
    <s v="Merchant_038"/>
    <s v="grocery"/>
    <s v="East"/>
    <n v="2E-3"/>
  </r>
  <r>
    <s v="TXN100416"/>
    <n v="33"/>
    <x v="8"/>
    <x v="412"/>
    <n v="299"/>
    <s v="Card"/>
    <s v="failed"/>
    <n v="7"/>
    <s v="Merchant_035"/>
    <s v="recharge"/>
    <s v="East"/>
    <n v="1.4999999999999999E-2"/>
  </r>
  <r>
    <s v="TXN100417"/>
    <n v="242"/>
    <x v="4"/>
    <x v="413"/>
    <n v="49"/>
    <s v="UPI"/>
    <s v="captured"/>
    <n v="36"/>
    <s v="Merchant_003"/>
    <s v="grocery"/>
    <s v="East"/>
    <n v="2E-3"/>
  </r>
  <r>
    <s v="TXN100418"/>
    <n v="70"/>
    <x v="1"/>
    <x v="414"/>
    <n v="149"/>
    <s v="UPI"/>
    <s v="captured"/>
    <n v="47"/>
    <s v="Merchant_027"/>
    <s v="ecommerce"/>
    <s v="North"/>
    <n v="2E-3"/>
  </r>
  <r>
    <s v="TXN100419"/>
    <n v="194"/>
    <x v="14"/>
    <x v="415"/>
    <n v="49"/>
    <s v="Wallet"/>
    <s v="captured"/>
    <n v="10"/>
    <s v="Merchant_025"/>
    <s v="travel"/>
    <s v="South"/>
    <n v="6.4999999999999997E-3"/>
  </r>
  <r>
    <s v="TXN100420"/>
    <n v="277"/>
    <x v="39"/>
    <x v="416"/>
    <n v="799"/>
    <s v="UPI"/>
    <s v="captured"/>
    <n v="83"/>
    <s v="Merchant_009"/>
    <s v="ecommerce"/>
    <s v="North"/>
    <n v="2E-3"/>
  </r>
  <r>
    <s v="TXN100421"/>
    <n v="92"/>
    <x v="8"/>
    <x v="417"/>
    <n v="49"/>
    <s v="UPI"/>
    <s v="captured"/>
    <n v="50"/>
    <s v="Merchant_035"/>
    <s v="recharge"/>
    <s v="East"/>
    <n v="2E-3"/>
  </r>
  <r>
    <s v="TXN100422"/>
    <n v="115"/>
    <x v="37"/>
    <x v="418"/>
    <n v="149"/>
    <s v="Wallet"/>
    <s v="captured"/>
    <n v="96"/>
    <s v="Merchant_001"/>
    <s v="ecommerce"/>
    <s v="South"/>
    <n v="6.4999999999999997E-3"/>
  </r>
  <r>
    <s v="TXN100423"/>
    <n v="345"/>
    <x v="8"/>
    <x v="419"/>
    <n v="499"/>
    <s v="Card"/>
    <s v="captured"/>
    <n v="54"/>
    <s v="Merchant_035"/>
    <s v="recharge"/>
    <s v="East"/>
    <n v="1.4999999999999999E-2"/>
  </r>
  <r>
    <s v="TXN100424"/>
    <n v="118"/>
    <x v="0"/>
    <x v="420"/>
    <n v="49"/>
    <s v="UPI"/>
    <s v="captured"/>
    <n v="58"/>
    <s v="Merchant_016"/>
    <s v="bill_payment"/>
    <s v="West"/>
    <n v="2E-3"/>
  </r>
  <r>
    <s v="TXN100425"/>
    <n v="97"/>
    <x v="30"/>
    <x v="421"/>
    <n v="99"/>
    <s v="Netbanking"/>
    <s v="captured"/>
    <n v="4"/>
    <s v="Merchant_008"/>
    <s v="food_delivery"/>
    <s v="North"/>
    <n v="0.01"/>
  </r>
  <r>
    <s v="TXN100426"/>
    <n v="315"/>
    <x v="27"/>
    <x v="422"/>
    <n v="299"/>
    <s v="Wallet"/>
    <s v="captured"/>
    <n v="30"/>
    <s v="Merchant_002"/>
    <s v="grocery"/>
    <s v="West"/>
    <n v="6.4999999999999997E-3"/>
  </r>
  <r>
    <s v="TXN100427"/>
    <n v="305"/>
    <x v="4"/>
    <x v="423"/>
    <n v="299"/>
    <s v="UPI"/>
    <s v="captured"/>
    <n v="57"/>
    <s v="Merchant_003"/>
    <s v="grocery"/>
    <s v="East"/>
    <n v="2E-3"/>
  </r>
  <r>
    <s v="TXN100428"/>
    <n v="25"/>
    <x v="0"/>
    <x v="424"/>
    <n v="299"/>
    <s v="UPI"/>
    <s v="captured"/>
    <n v="94"/>
    <s v="Merchant_016"/>
    <s v="bill_payment"/>
    <s v="West"/>
    <n v="2E-3"/>
  </r>
  <r>
    <s v="TXN100429"/>
    <n v="120"/>
    <x v="8"/>
    <x v="425"/>
    <n v="49"/>
    <s v="UPI"/>
    <s v="captured"/>
    <n v="27"/>
    <s v="Merchant_035"/>
    <s v="recharge"/>
    <s v="East"/>
    <n v="2E-3"/>
  </r>
  <r>
    <s v="TXN100430"/>
    <n v="258"/>
    <x v="13"/>
    <x v="426"/>
    <n v="49"/>
    <s v="Wallet"/>
    <s v="captured"/>
    <n v="29"/>
    <s v="Merchant_019"/>
    <s v="grocery"/>
    <s v="North"/>
    <n v="6.4999999999999997E-3"/>
  </r>
  <r>
    <s v="TXN100431"/>
    <n v="164"/>
    <x v="21"/>
    <x v="427"/>
    <n v="799"/>
    <s v="UPI"/>
    <s v="captured"/>
    <n v="76"/>
    <s v="Merchant_037"/>
    <s v="entertainment"/>
    <s v="South"/>
    <n v="2E-3"/>
  </r>
  <r>
    <s v="TXN100432"/>
    <n v="165"/>
    <x v="0"/>
    <x v="428"/>
    <n v="49"/>
    <s v="Wallet"/>
    <s v="captured"/>
    <n v="38"/>
    <s v="Merchant_016"/>
    <s v="bill_payment"/>
    <s v="West"/>
    <n v="6.4999999999999997E-3"/>
  </r>
  <r>
    <s v="TXN100433"/>
    <n v="267"/>
    <x v="19"/>
    <x v="429"/>
    <n v="49"/>
    <s v="Netbanking"/>
    <s v="captured"/>
    <n v="52"/>
    <s v="Merchant_015"/>
    <s v="travel"/>
    <s v="North"/>
    <n v="0.01"/>
  </r>
  <r>
    <s v="TXN100434"/>
    <n v="286"/>
    <x v="35"/>
    <x v="430"/>
    <n v="299"/>
    <s v="Wallet"/>
    <s v="captured"/>
    <n v="94"/>
    <s v="Merchant_038"/>
    <s v="grocery"/>
    <s v="East"/>
    <n v="6.4999999999999997E-3"/>
  </r>
  <r>
    <s v="TXN100435"/>
    <n v="348"/>
    <x v="10"/>
    <x v="431"/>
    <n v="499"/>
    <s v="Card"/>
    <s v="captured"/>
    <n v="71"/>
    <s v="Merchant_028"/>
    <s v="ecommerce"/>
    <s v="South"/>
    <n v="1.4999999999999999E-2"/>
  </r>
  <r>
    <s v="TXN100436"/>
    <n v="330"/>
    <x v="14"/>
    <x v="432"/>
    <n v="799"/>
    <s v="UPI"/>
    <s v="captured"/>
    <n v="100"/>
    <s v="Merchant_025"/>
    <s v="travel"/>
    <s v="South"/>
    <n v="2E-3"/>
  </r>
  <r>
    <s v="TXN100437"/>
    <n v="214"/>
    <x v="1"/>
    <x v="433"/>
    <n v="299"/>
    <s v="Card"/>
    <s v="captured"/>
    <n v="19"/>
    <s v="Merchant_027"/>
    <s v="ecommerce"/>
    <s v="North"/>
    <n v="1.4999999999999999E-2"/>
  </r>
  <r>
    <s v="TXN100438"/>
    <n v="276"/>
    <x v="20"/>
    <x v="434"/>
    <n v="499"/>
    <s v="UPI"/>
    <s v="captured"/>
    <n v="30"/>
    <s v="Merchant_031"/>
    <s v="bill_payment"/>
    <s v="East"/>
    <n v="2E-3"/>
  </r>
  <r>
    <s v="TXN100439"/>
    <n v="74"/>
    <x v="24"/>
    <x v="435"/>
    <n v="49"/>
    <s v="UPI"/>
    <s v="captured"/>
    <n v="7"/>
    <s v="Merchant_030"/>
    <s v="travel"/>
    <s v="West"/>
    <n v="2E-3"/>
  </r>
  <r>
    <s v="TXN100440"/>
    <n v="286"/>
    <x v="36"/>
    <x v="436"/>
    <n v="49"/>
    <s v="Card"/>
    <s v="captured"/>
    <n v="17"/>
    <s v="Merchant_034"/>
    <s v="travel"/>
    <s v="South"/>
    <n v="1.4999999999999999E-2"/>
  </r>
  <r>
    <s v="TXN100441"/>
    <n v="105"/>
    <x v="3"/>
    <x v="437"/>
    <n v="4999"/>
    <s v="UPI"/>
    <s v="captured"/>
    <n v="82"/>
    <s v="Merchant_022"/>
    <s v="travel"/>
    <s v="South"/>
    <n v="2E-3"/>
  </r>
  <r>
    <s v="TXN100442"/>
    <n v="190"/>
    <x v="18"/>
    <x v="438"/>
    <n v="799"/>
    <s v="Wallet"/>
    <s v="captured"/>
    <n v="68"/>
    <s v="Merchant_006"/>
    <s v="food_delivery"/>
    <s v="South"/>
    <n v="6.4999999999999997E-3"/>
  </r>
  <r>
    <s v="TXN100443"/>
    <n v="138"/>
    <x v="14"/>
    <x v="439"/>
    <n v="299"/>
    <s v="Wallet"/>
    <s v="captured"/>
    <n v="86"/>
    <s v="Merchant_025"/>
    <s v="travel"/>
    <s v="South"/>
    <n v="6.4999999999999997E-3"/>
  </r>
  <r>
    <s v="TXN100444"/>
    <n v="38"/>
    <x v="6"/>
    <x v="440"/>
    <n v="4999"/>
    <s v="Netbanking"/>
    <s v="captured"/>
    <n v="97"/>
    <s v="Merchant_013"/>
    <s v="travel"/>
    <s v="East"/>
    <n v="0.01"/>
  </r>
  <r>
    <s v="TXN100445"/>
    <n v="287"/>
    <x v="16"/>
    <x v="441"/>
    <n v="99"/>
    <s v="Wallet"/>
    <s v="captured"/>
    <n v="61"/>
    <s v="Merchant_014"/>
    <s v="grocery"/>
    <s v="East"/>
    <n v="6.4999999999999997E-3"/>
  </r>
  <r>
    <s v="TXN100446"/>
    <n v="8"/>
    <x v="16"/>
    <x v="442"/>
    <n v="49"/>
    <s v="UPI"/>
    <s v="captured"/>
    <n v="24"/>
    <s v="Merchant_014"/>
    <s v="grocery"/>
    <s v="East"/>
    <n v="2E-3"/>
  </r>
  <r>
    <s v="TXN100447"/>
    <n v="246"/>
    <x v="0"/>
    <x v="443"/>
    <n v="1499"/>
    <s v="Wallet"/>
    <s v="captured"/>
    <n v="89"/>
    <s v="Merchant_016"/>
    <s v="bill_payment"/>
    <s v="West"/>
    <n v="6.4999999999999997E-3"/>
  </r>
  <r>
    <s v="TXN100448"/>
    <n v="204"/>
    <x v="0"/>
    <x v="444"/>
    <n v="149"/>
    <s v="UPI"/>
    <s v="captured"/>
    <n v="70"/>
    <s v="Merchant_016"/>
    <s v="bill_payment"/>
    <s v="West"/>
    <n v="2E-3"/>
  </r>
  <r>
    <s v="TXN100449"/>
    <n v="239"/>
    <x v="8"/>
    <x v="445"/>
    <n v="4999"/>
    <s v="UPI"/>
    <s v="captured"/>
    <n v="83"/>
    <s v="Merchant_035"/>
    <s v="recharge"/>
    <s v="East"/>
    <n v="2E-3"/>
  </r>
  <r>
    <s v="TXN100450"/>
    <n v="185"/>
    <x v="11"/>
    <x v="446"/>
    <n v="299"/>
    <s v="UPI"/>
    <s v="captured"/>
    <n v="63"/>
    <s v="Merchant_033"/>
    <s v="bill_payment"/>
    <s v="East"/>
    <n v="2E-3"/>
  </r>
  <r>
    <s v="TXN100451"/>
    <n v="241"/>
    <x v="17"/>
    <x v="447"/>
    <n v="299"/>
    <s v="Card"/>
    <s v="captured"/>
    <n v="26"/>
    <s v="Merchant_021"/>
    <s v="food_delivery"/>
    <s v="East"/>
    <n v="1.4999999999999999E-2"/>
  </r>
  <r>
    <s v="TXN100452"/>
    <n v="24"/>
    <x v="21"/>
    <x v="448"/>
    <n v="149"/>
    <s v="UPI"/>
    <s v="captured"/>
    <n v="28"/>
    <s v="Merchant_037"/>
    <s v="entertainment"/>
    <s v="South"/>
    <n v="2E-3"/>
  </r>
  <r>
    <s v="TXN100453"/>
    <n v="134"/>
    <x v="25"/>
    <x v="449"/>
    <n v="1499"/>
    <s v="UPI"/>
    <s v="captured"/>
    <n v="74"/>
    <s v="Merchant_036"/>
    <s v="entertainment"/>
    <s v="East"/>
    <n v="2E-3"/>
  </r>
  <r>
    <s v="TXN100454"/>
    <n v="152"/>
    <x v="34"/>
    <x v="450"/>
    <n v="499"/>
    <s v="Wallet"/>
    <s v="captured"/>
    <n v="25"/>
    <s v="Merchant_010"/>
    <s v="grocery"/>
    <s v="West"/>
    <n v="6.4999999999999997E-3"/>
  </r>
  <r>
    <s v="TXN100455"/>
    <n v="292"/>
    <x v="0"/>
    <x v="451"/>
    <n v="499"/>
    <s v="Netbanking"/>
    <s v="captured"/>
    <n v="63"/>
    <s v="Merchant_016"/>
    <s v="bill_payment"/>
    <s v="West"/>
    <n v="0.01"/>
  </r>
  <r>
    <s v="TXN100456"/>
    <n v="173"/>
    <x v="28"/>
    <x v="452"/>
    <n v="99"/>
    <s v="Netbanking"/>
    <s v="captured"/>
    <n v="97"/>
    <s v="Merchant_017"/>
    <s v="grocery"/>
    <s v="North"/>
    <n v="0.01"/>
  </r>
  <r>
    <s v="TXN100457"/>
    <n v="329"/>
    <x v="33"/>
    <x v="453"/>
    <n v="1499"/>
    <s v="UPI"/>
    <s v="captured"/>
    <n v="58"/>
    <s v="Merchant_032"/>
    <s v="food_delivery"/>
    <s v="West"/>
    <n v="2E-3"/>
  </r>
  <r>
    <s v="TXN100458"/>
    <n v="181"/>
    <x v="2"/>
    <x v="454"/>
    <n v="1499"/>
    <s v="UPI"/>
    <s v="captured"/>
    <n v="17"/>
    <s v="Merchant_011"/>
    <s v="ecommerce"/>
    <s v="North"/>
    <n v="2E-3"/>
  </r>
  <r>
    <s v="TXN100459"/>
    <n v="95"/>
    <x v="8"/>
    <x v="455"/>
    <n v="149"/>
    <s v="Wallet"/>
    <s v="captured"/>
    <n v="82"/>
    <s v="Merchant_035"/>
    <s v="recharge"/>
    <s v="East"/>
    <n v="6.4999999999999997E-3"/>
  </r>
  <r>
    <s v="TXN100460"/>
    <n v="39"/>
    <x v="29"/>
    <x v="456"/>
    <n v="149"/>
    <s v="Netbanking"/>
    <s v="captured"/>
    <n v="97"/>
    <s v="Merchant_004"/>
    <s v="ecommerce"/>
    <s v="East"/>
    <n v="0.01"/>
  </r>
  <r>
    <s v="TXN100461"/>
    <n v="323"/>
    <x v="19"/>
    <x v="457"/>
    <n v="499"/>
    <s v="UPI"/>
    <s v="captured"/>
    <n v="8"/>
    <s v="Merchant_015"/>
    <s v="travel"/>
    <s v="North"/>
    <n v="2E-3"/>
  </r>
  <r>
    <s v="TXN100462"/>
    <n v="112"/>
    <x v="11"/>
    <x v="458"/>
    <n v="49"/>
    <s v="Netbanking"/>
    <s v="captured"/>
    <n v="58"/>
    <s v="Merchant_033"/>
    <s v="bill_payment"/>
    <s v="East"/>
    <n v="0.01"/>
  </r>
  <r>
    <s v="TXN100463"/>
    <n v="327"/>
    <x v="12"/>
    <x v="459"/>
    <n v="99"/>
    <s v="UPI"/>
    <s v="captured"/>
    <n v="61"/>
    <s v="Merchant_040"/>
    <s v="entertainment"/>
    <s v="South"/>
    <n v="2E-3"/>
  </r>
  <r>
    <s v="TXN100464"/>
    <n v="4"/>
    <x v="8"/>
    <x v="460"/>
    <n v="299"/>
    <s v="UPI"/>
    <s v="captured"/>
    <n v="70"/>
    <s v="Merchant_035"/>
    <s v="recharge"/>
    <s v="East"/>
    <n v="2E-3"/>
  </r>
  <r>
    <s v="TXN100465"/>
    <n v="272"/>
    <x v="7"/>
    <x v="461"/>
    <n v="149"/>
    <s v="UPI"/>
    <s v="captured"/>
    <n v="68"/>
    <s v="Merchant_018"/>
    <s v="grocery"/>
    <s v="West"/>
    <n v="2E-3"/>
  </r>
  <r>
    <s v="TXN100466"/>
    <n v="346"/>
    <x v="10"/>
    <x v="462"/>
    <n v="499"/>
    <s v="UPI"/>
    <s v="captured"/>
    <n v="22"/>
    <s v="Merchant_028"/>
    <s v="ecommerce"/>
    <s v="South"/>
    <n v="2E-3"/>
  </r>
  <r>
    <s v="TXN100467"/>
    <n v="77"/>
    <x v="0"/>
    <x v="463"/>
    <n v="49"/>
    <s v="Wallet"/>
    <s v="captured"/>
    <n v="24"/>
    <s v="Merchant_016"/>
    <s v="bill_payment"/>
    <s v="West"/>
    <n v="6.4999999999999997E-3"/>
  </r>
  <r>
    <s v="TXN100468"/>
    <n v="182"/>
    <x v="7"/>
    <x v="464"/>
    <n v="149"/>
    <s v="Card"/>
    <s v="captured"/>
    <n v="50"/>
    <s v="Merchant_018"/>
    <s v="grocery"/>
    <s v="West"/>
    <n v="1.4999999999999999E-2"/>
  </r>
  <r>
    <s v="TXN100469"/>
    <n v="236"/>
    <x v="21"/>
    <x v="465"/>
    <n v="299"/>
    <s v="Card"/>
    <s v="captured"/>
    <n v="31"/>
    <s v="Merchant_037"/>
    <s v="entertainment"/>
    <s v="South"/>
    <n v="1.4999999999999999E-2"/>
  </r>
  <r>
    <s v="TXN100470"/>
    <n v="42"/>
    <x v="4"/>
    <x v="76"/>
    <n v="49"/>
    <s v="UPI"/>
    <s v="captured"/>
    <n v="11"/>
    <s v="Merchant_003"/>
    <s v="grocery"/>
    <s v="East"/>
    <n v="2E-3"/>
  </r>
  <r>
    <s v="TXN100471"/>
    <n v="283"/>
    <x v="20"/>
    <x v="466"/>
    <n v="299"/>
    <s v="Netbanking"/>
    <s v="captured"/>
    <n v="7"/>
    <s v="Merchant_031"/>
    <s v="bill_payment"/>
    <s v="East"/>
    <n v="0.01"/>
  </r>
  <r>
    <s v="TXN100472"/>
    <n v="88"/>
    <x v="18"/>
    <x v="467"/>
    <n v="49"/>
    <s v="UPI"/>
    <s v="captured"/>
    <n v="63"/>
    <s v="Merchant_006"/>
    <s v="food_delivery"/>
    <s v="South"/>
    <n v="2E-3"/>
  </r>
  <r>
    <s v="TXN100473"/>
    <n v="170"/>
    <x v="21"/>
    <x v="468"/>
    <n v="99"/>
    <s v="UPI"/>
    <s v="failed"/>
    <n v="12"/>
    <s v="Merchant_037"/>
    <s v="entertainment"/>
    <s v="South"/>
    <n v="2E-3"/>
  </r>
  <r>
    <s v="TXN100474"/>
    <n v="22"/>
    <x v="19"/>
    <x v="469"/>
    <n v="49"/>
    <s v="Netbanking"/>
    <s v="captured"/>
    <n v="27"/>
    <s v="Merchant_015"/>
    <s v="travel"/>
    <s v="North"/>
    <n v="0.01"/>
  </r>
  <r>
    <s v="TXN100475"/>
    <n v="291"/>
    <x v="20"/>
    <x v="470"/>
    <n v="49"/>
    <s v="Netbanking"/>
    <s v="failed"/>
    <n v="34"/>
    <s v="Merchant_031"/>
    <s v="bill_payment"/>
    <s v="East"/>
    <n v="0.01"/>
  </r>
  <r>
    <s v="TXN100476"/>
    <n v="144"/>
    <x v="8"/>
    <x v="471"/>
    <n v="1499"/>
    <s v="UPI"/>
    <s v="captured"/>
    <n v="72"/>
    <s v="Merchant_035"/>
    <s v="recharge"/>
    <s v="East"/>
    <n v="2E-3"/>
  </r>
  <r>
    <s v="TXN100477"/>
    <n v="162"/>
    <x v="27"/>
    <x v="472"/>
    <n v="299"/>
    <s v="Wallet"/>
    <s v="captured"/>
    <n v="26"/>
    <s v="Merchant_002"/>
    <s v="grocery"/>
    <s v="West"/>
    <n v="6.4999999999999997E-3"/>
  </r>
  <r>
    <s v="TXN100478"/>
    <n v="204"/>
    <x v="32"/>
    <x v="473"/>
    <n v="49"/>
    <s v="UPI"/>
    <s v="captured"/>
    <n v="38"/>
    <s v="Merchant_005"/>
    <s v="recharge"/>
    <s v="South"/>
    <n v="2E-3"/>
  </r>
  <r>
    <s v="TXN100479"/>
    <n v="291"/>
    <x v="14"/>
    <x v="474"/>
    <n v="99"/>
    <s v="Wallet"/>
    <s v="captured"/>
    <n v="86"/>
    <s v="Merchant_025"/>
    <s v="travel"/>
    <s v="South"/>
    <n v="6.4999999999999997E-3"/>
  </r>
  <r>
    <s v="TXN100480"/>
    <n v="197"/>
    <x v="39"/>
    <x v="475"/>
    <n v="49"/>
    <s v="Wallet"/>
    <s v="failed"/>
    <n v="88"/>
    <s v="Merchant_009"/>
    <s v="ecommerce"/>
    <s v="North"/>
    <n v="6.4999999999999997E-3"/>
  </r>
  <r>
    <s v="TXN100481"/>
    <n v="178"/>
    <x v="29"/>
    <x v="476"/>
    <n v="1499"/>
    <s v="UPI"/>
    <s v="captured"/>
    <n v="12"/>
    <s v="Merchant_004"/>
    <s v="ecommerce"/>
    <s v="East"/>
    <n v="2E-3"/>
  </r>
  <r>
    <s v="TXN100482"/>
    <n v="39"/>
    <x v="3"/>
    <x v="477"/>
    <n v="799"/>
    <s v="Netbanking"/>
    <s v="captured"/>
    <n v="77"/>
    <s v="Merchant_022"/>
    <s v="travel"/>
    <s v="South"/>
    <n v="0.01"/>
  </r>
  <r>
    <s v="TXN100483"/>
    <n v="204"/>
    <x v="17"/>
    <x v="478"/>
    <n v="299"/>
    <s v="Wallet"/>
    <s v="captured"/>
    <n v="3"/>
    <s v="Merchant_021"/>
    <s v="food_delivery"/>
    <s v="East"/>
    <n v="6.4999999999999997E-3"/>
  </r>
  <r>
    <s v="TXN100484"/>
    <n v="231"/>
    <x v="33"/>
    <x v="479"/>
    <n v="299"/>
    <s v="UPI"/>
    <s v="captured"/>
    <n v="29"/>
    <s v="Merchant_032"/>
    <s v="food_delivery"/>
    <s v="West"/>
    <n v="2E-3"/>
  </r>
  <r>
    <s v="TXN100485"/>
    <n v="222"/>
    <x v="9"/>
    <x v="480"/>
    <n v="499"/>
    <s v="Wallet"/>
    <s v="failed"/>
    <n v="87"/>
    <s v="Merchant_012"/>
    <s v="ecommerce"/>
    <s v="East"/>
    <n v="6.4999999999999997E-3"/>
  </r>
  <r>
    <s v="TXN100486"/>
    <n v="44"/>
    <x v="12"/>
    <x v="481"/>
    <n v="499"/>
    <s v="UPI"/>
    <s v="captured"/>
    <n v="37"/>
    <s v="Merchant_040"/>
    <s v="entertainment"/>
    <s v="South"/>
    <n v="2E-3"/>
  </r>
  <r>
    <s v="TXN100487"/>
    <n v="38"/>
    <x v="18"/>
    <x v="482"/>
    <n v="49"/>
    <s v="Wallet"/>
    <s v="captured"/>
    <n v="34"/>
    <s v="Merchant_006"/>
    <s v="food_delivery"/>
    <s v="South"/>
    <n v="6.4999999999999997E-3"/>
  </r>
  <r>
    <s v="TXN100488"/>
    <n v="325"/>
    <x v="34"/>
    <x v="483"/>
    <n v="49"/>
    <s v="Netbanking"/>
    <s v="chargeback"/>
    <n v="94"/>
    <s v="Merchant_010"/>
    <s v="grocery"/>
    <s v="West"/>
    <n v="0.01"/>
  </r>
  <r>
    <s v="TXN100489"/>
    <n v="55"/>
    <x v="18"/>
    <x v="484"/>
    <n v="1499"/>
    <s v="Card"/>
    <s v="captured"/>
    <n v="0"/>
    <s v="Merchant_006"/>
    <s v="food_delivery"/>
    <s v="South"/>
    <n v="1.4999999999999999E-2"/>
  </r>
  <r>
    <s v="TXN100490"/>
    <n v="139"/>
    <x v="23"/>
    <x v="485"/>
    <n v="499"/>
    <s v="Card"/>
    <s v="captured"/>
    <n v="16"/>
    <s v="Merchant_007"/>
    <s v="food_delivery"/>
    <s v="East"/>
    <n v="1.4999999999999999E-2"/>
  </r>
  <r>
    <s v="TXN100491"/>
    <n v="230"/>
    <x v="25"/>
    <x v="486"/>
    <n v="99"/>
    <s v="Wallet"/>
    <s v="captured"/>
    <n v="71"/>
    <s v="Merchant_036"/>
    <s v="entertainment"/>
    <s v="East"/>
    <n v="6.4999999999999997E-3"/>
  </r>
  <r>
    <s v="TXN100492"/>
    <n v="14"/>
    <x v="18"/>
    <x v="487"/>
    <n v="799"/>
    <s v="Card"/>
    <s v="captured"/>
    <n v="45"/>
    <s v="Merchant_006"/>
    <s v="food_delivery"/>
    <s v="South"/>
    <n v="1.4999999999999999E-2"/>
  </r>
  <r>
    <s v="TXN100493"/>
    <n v="307"/>
    <x v="17"/>
    <x v="488"/>
    <n v="799"/>
    <s v="UPI"/>
    <s v="captured"/>
    <n v="49"/>
    <s v="Merchant_021"/>
    <s v="food_delivery"/>
    <s v="East"/>
    <n v="2E-3"/>
  </r>
  <r>
    <s v="TXN100494"/>
    <n v="199"/>
    <x v="18"/>
    <x v="489"/>
    <n v="49"/>
    <s v="UPI"/>
    <s v="captured"/>
    <n v="92"/>
    <s v="Merchant_006"/>
    <s v="food_delivery"/>
    <s v="South"/>
    <n v="2E-3"/>
  </r>
  <r>
    <s v="TXN100495"/>
    <n v="125"/>
    <x v="21"/>
    <x v="490"/>
    <n v="149"/>
    <s v="Wallet"/>
    <s v="captured"/>
    <n v="66"/>
    <s v="Merchant_037"/>
    <s v="entertainment"/>
    <s v="South"/>
    <n v="6.4999999999999997E-3"/>
  </r>
  <r>
    <s v="TXN100496"/>
    <n v="87"/>
    <x v="39"/>
    <x v="491"/>
    <n v="149"/>
    <s v="UPI"/>
    <s v="captured"/>
    <n v="34"/>
    <s v="Merchant_009"/>
    <s v="ecommerce"/>
    <s v="North"/>
    <n v="2E-3"/>
  </r>
  <r>
    <s v="TXN100497"/>
    <n v="75"/>
    <x v="32"/>
    <x v="492"/>
    <n v="99"/>
    <s v="UPI"/>
    <s v="captured"/>
    <n v="21"/>
    <s v="Merchant_005"/>
    <s v="recharge"/>
    <s v="South"/>
    <n v="2E-3"/>
  </r>
  <r>
    <s v="TXN100498"/>
    <n v="154"/>
    <x v="20"/>
    <x v="493"/>
    <n v="499"/>
    <s v="Wallet"/>
    <s v="captured"/>
    <n v="100"/>
    <s v="Merchant_031"/>
    <s v="bill_payment"/>
    <s v="East"/>
    <n v="6.4999999999999997E-3"/>
  </r>
  <r>
    <s v="TXN100499"/>
    <n v="127"/>
    <x v="33"/>
    <x v="494"/>
    <n v="149"/>
    <s v="Card"/>
    <s v="captured"/>
    <n v="76"/>
    <s v="Merchant_032"/>
    <s v="food_delivery"/>
    <s v="West"/>
    <n v="1.4999999999999999E-2"/>
  </r>
  <r>
    <s v="TXN200000"/>
    <n v="351"/>
    <x v="23"/>
    <x v="495"/>
    <n v="1999"/>
    <s v="Card"/>
    <s v="chargeback"/>
    <n v="79"/>
    <s v="Merchant_007"/>
    <s v="food_delivery"/>
    <s v="East"/>
    <n v="1.4999999999999999E-2"/>
  </r>
  <r>
    <s v="TXN200001"/>
    <n v="352"/>
    <x v="12"/>
    <x v="496"/>
    <n v="4999"/>
    <s v="Card"/>
    <s v="chargeback"/>
    <n v="95"/>
    <s v="Merchant_040"/>
    <s v="entertainment"/>
    <s v="South"/>
    <n v="1.4999999999999999E-2"/>
  </r>
  <r>
    <s v="TXN200002"/>
    <n v="353"/>
    <x v="10"/>
    <x v="497"/>
    <n v="1999"/>
    <s v="Card"/>
    <s v="chargeback"/>
    <n v="79"/>
    <s v="Merchant_028"/>
    <s v="ecommerce"/>
    <s v="South"/>
    <n v="1.4999999999999999E-2"/>
  </r>
  <r>
    <s v="TXN200003"/>
    <n v="354"/>
    <x v="6"/>
    <x v="498"/>
    <n v="4999"/>
    <s v="Card"/>
    <s v="chargeback"/>
    <n v="80"/>
    <s v="Merchant_013"/>
    <s v="travel"/>
    <s v="East"/>
    <n v="1.4999999999999999E-2"/>
  </r>
  <r>
    <s v="TXN200004"/>
    <n v="355"/>
    <x v="13"/>
    <x v="499"/>
    <n v="4999"/>
    <s v="Card"/>
    <s v="chargeback"/>
    <n v="100"/>
    <s v="Merchant_019"/>
    <s v="grocery"/>
    <s v="North"/>
    <n v="1.4999999999999999E-2"/>
  </r>
  <r>
    <s v="TXN200005"/>
    <n v="356"/>
    <x v="14"/>
    <x v="500"/>
    <n v="2999"/>
    <s v="Card"/>
    <s v="chargeback"/>
    <n v="96"/>
    <s v="Merchant_025"/>
    <s v="travel"/>
    <s v="South"/>
    <n v="1.4999999999999999E-2"/>
  </r>
  <r>
    <s v="TXN200006"/>
    <n v="357"/>
    <x v="21"/>
    <x v="501"/>
    <n v="1999"/>
    <s v="Card"/>
    <s v="chargeback"/>
    <n v="88"/>
    <s v="Merchant_037"/>
    <s v="entertainment"/>
    <s v="South"/>
    <n v="1.4999999999999999E-2"/>
  </r>
  <r>
    <s v="TXN200007"/>
    <n v="358"/>
    <x v="25"/>
    <x v="502"/>
    <n v="999"/>
    <s v="Card"/>
    <s v="chargeback"/>
    <n v="100"/>
    <s v="Merchant_036"/>
    <s v="entertainment"/>
    <s v="East"/>
    <n v="1.4999999999999999E-2"/>
  </r>
  <r>
    <s v="TXN200008"/>
    <n v="359"/>
    <x v="26"/>
    <x v="503"/>
    <n v="2999"/>
    <s v="Card"/>
    <s v="chargeback"/>
    <n v="96"/>
    <s v="Merchant_029"/>
    <s v="ecommerce"/>
    <s v="North"/>
    <n v="1.4999999999999999E-2"/>
  </r>
  <r>
    <s v="TXN200009"/>
    <n v="360"/>
    <x v="33"/>
    <x v="504"/>
    <n v="1999"/>
    <s v="Card"/>
    <s v="chargeback"/>
    <n v="90"/>
    <s v="Merchant_032"/>
    <s v="food_delivery"/>
    <s v="West"/>
    <n v="1.4999999999999999E-2"/>
  </r>
  <r>
    <s v="TXN200010"/>
    <n v="361"/>
    <x v="34"/>
    <x v="505"/>
    <n v="4999"/>
    <s v="Card"/>
    <s v="chargeback"/>
    <n v="95"/>
    <s v="Merchant_010"/>
    <s v="grocery"/>
    <s v="West"/>
    <n v="1.4999999999999999E-2"/>
  </r>
  <r>
    <s v="TXN200011"/>
    <n v="362"/>
    <x v="38"/>
    <x v="506"/>
    <n v="4999"/>
    <s v="Card"/>
    <s v="chargeback"/>
    <n v="88"/>
    <s v="Merchant_039"/>
    <s v="entertainment"/>
    <s v="North"/>
    <n v="1.4999999999999999E-2"/>
  </r>
  <r>
    <s v="TXN200012"/>
    <n v="363"/>
    <x v="1"/>
    <x v="507"/>
    <n v="999"/>
    <s v="Card"/>
    <s v="chargeback"/>
    <n v="95"/>
    <s v="Merchant_027"/>
    <s v="ecommerce"/>
    <s v="North"/>
    <n v="1.4999999999999999E-2"/>
  </r>
  <r>
    <s v="TXN200013"/>
    <n v="364"/>
    <x v="38"/>
    <x v="508"/>
    <n v="999"/>
    <s v="Card"/>
    <s v="chargeback"/>
    <n v="73"/>
    <s v="Merchant_039"/>
    <s v="entertainment"/>
    <s v="North"/>
    <n v="1.4999999999999999E-2"/>
  </r>
  <r>
    <s v="TXN200014"/>
    <n v="365"/>
    <x v="5"/>
    <x v="509"/>
    <n v="1999"/>
    <s v="Card"/>
    <s v="chargeback"/>
    <n v="90"/>
    <s v="Merchant_023"/>
    <s v="travel"/>
    <s v="North"/>
    <n v="1.4999999999999999E-2"/>
  </r>
  <r>
    <s v="TXN300000"/>
    <n v="314"/>
    <x v="22"/>
    <x v="510"/>
    <n v="399"/>
    <s v="Card"/>
    <s v="failed"/>
    <n v="87"/>
    <s v="Merchant_026"/>
    <s v="food_delivery"/>
    <s v="East"/>
    <n v="1.4999999999999999E-2"/>
  </r>
  <r>
    <s v="TXN300001"/>
    <n v="314"/>
    <x v="23"/>
    <x v="511"/>
    <n v="299"/>
    <s v="Card"/>
    <s v="failed"/>
    <n v="66"/>
    <s v="Merchant_007"/>
    <s v="food_delivery"/>
    <s v="East"/>
    <n v="1.4999999999999999E-2"/>
  </r>
  <r>
    <s v="TXN300002"/>
    <n v="314"/>
    <x v="28"/>
    <x v="512"/>
    <n v="299"/>
    <s v="Card"/>
    <s v="failed"/>
    <n v="92"/>
    <s v="Merchant_017"/>
    <s v="grocery"/>
    <s v="North"/>
    <n v="1.4999999999999999E-2"/>
  </r>
  <r>
    <s v="TXN300003"/>
    <n v="314"/>
    <x v="36"/>
    <x v="513"/>
    <n v="499"/>
    <s v="Card"/>
    <s v="captured"/>
    <n v="74"/>
    <s v="Merchant_034"/>
    <s v="travel"/>
    <s v="South"/>
    <n v="1.4999999999999999E-2"/>
  </r>
  <r>
    <s v="TXN300004"/>
    <n v="229"/>
    <x v="24"/>
    <x v="514"/>
    <n v="499"/>
    <s v="Card"/>
    <s v="failed"/>
    <n v="92"/>
    <s v="Merchant_030"/>
    <s v="travel"/>
    <s v="West"/>
    <n v="1.4999999999999999E-2"/>
  </r>
  <r>
    <s v="TXN300005"/>
    <n v="229"/>
    <x v="34"/>
    <x v="515"/>
    <n v="399"/>
    <s v="Card"/>
    <s v="failed"/>
    <n v="61"/>
    <s v="Merchant_010"/>
    <s v="grocery"/>
    <s v="West"/>
    <n v="1.4999999999999999E-2"/>
  </r>
  <r>
    <s v="TXN300006"/>
    <n v="229"/>
    <x v="20"/>
    <x v="516"/>
    <n v="299"/>
    <s v="Card"/>
    <s v="failed"/>
    <n v="78"/>
    <s v="Merchant_031"/>
    <s v="bill_payment"/>
    <s v="East"/>
    <n v="1.4999999999999999E-2"/>
  </r>
  <r>
    <s v="TXN300007"/>
    <n v="229"/>
    <x v="1"/>
    <x v="517"/>
    <n v="299"/>
    <s v="Card"/>
    <s v="captured"/>
    <n v="67"/>
    <s v="Merchant_027"/>
    <s v="ecommerce"/>
    <s v="North"/>
    <n v="1.4999999999999999E-2"/>
  </r>
  <r>
    <s v="TXN300008"/>
    <n v="73"/>
    <x v="3"/>
    <x v="518"/>
    <n v="399"/>
    <s v="Card"/>
    <s v="failed"/>
    <n v="73"/>
    <s v="Merchant_022"/>
    <s v="travel"/>
    <s v="South"/>
    <n v="1.4999999999999999E-2"/>
  </r>
  <r>
    <s v="TXN300009"/>
    <n v="73"/>
    <x v="36"/>
    <x v="519"/>
    <n v="399"/>
    <s v="Card"/>
    <s v="failed"/>
    <n v="82"/>
    <s v="Merchant_034"/>
    <s v="travel"/>
    <s v="South"/>
    <n v="1.4999999999999999E-2"/>
  </r>
  <r>
    <s v="TXN300010"/>
    <n v="73"/>
    <x v="20"/>
    <x v="520"/>
    <n v="299"/>
    <s v="Card"/>
    <s v="failed"/>
    <n v="88"/>
    <s v="Merchant_031"/>
    <s v="bill_payment"/>
    <s v="East"/>
    <n v="1.4999999999999999E-2"/>
  </r>
  <r>
    <s v="TXN300011"/>
    <n v="73"/>
    <x v="26"/>
    <x v="521"/>
    <n v="399"/>
    <s v="Card"/>
    <s v="captured"/>
    <n v="64"/>
    <s v="Merchant_029"/>
    <s v="ecommerce"/>
    <s v="North"/>
    <n v="1.4999999999999999E-2"/>
  </r>
  <r>
    <s v="TXN300012"/>
    <n v="154"/>
    <x v="30"/>
    <x v="522"/>
    <n v="299"/>
    <s v="Card"/>
    <s v="failed"/>
    <n v="81"/>
    <s v="Merchant_008"/>
    <s v="food_delivery"/>
    <s v="North"/>
    <n v="1.4999999999999999E-2"/>
  </r>
  <r>
    <s v="TXN300013"/>
    <n v="154"/>
    <x v="23"/>
    <x v="523"/>
    <n v="499"/>
    <s v="Card"/>
    <s v="failed"/>
    <n v="70"/>
    <s v="Merchant_007"/>
    <s v="food_delivery"/>
    <s v="East"/>
    <n v="1.4999999999999999E-2"/>
  </r>
  <r>
    <s v="TXN300014"/>
    <n v="154"/>
    <x v="0"/>
    <x v="524"/>
    <n v="499"/>
    <s v="Card"/>
    <s v="failed"/>
    <n v="71"/>
    <s v="Merchant_016"/>
    <s v="bill_payment"/>
    <s v="West"/>
    <n v="1.4999999999999999E-2"/>
  </r>
  <r>
    <s v="TXN300015"/>
    <n v="154"/>
    <x v="25"/>
    <x v="525"/>
    <n v="299"/>
    <s v="Card"/>
    <s v="captured"/>
    <n v="81"/>
    <s v="Merchant_036"/>
    <s v="entertainment"/>
    <s v="East"/>
    <n v="1.4999999999999999E-2"/>
  </r>
  <r>
    <s v="TXN300016"/>
    <n v="287"/>
    <x v="19"/>
    <x v="526"/>
    <n v="399"/>
    <s v="Card"/>
    <s v="failed"/>
    <n v="71"/>
    <s v="Merchant_015"/>
    <s v="travel"/>
    <s v="North"/>
    <n v="1.4999999999999999E-2"/>
  </r>
  <r>
    <s v="TXN300017"/>
    <n v="287"/>
    <x v="9"/>
    <x v="527"/>
    <n v="499"/>
    <s v="Card"/>
    <s v="failed"/>
    <n v="87"/>
    <s v="Merchant_012"/>
    <s v="ecommerce"/>
    <s v="East"/>
    <n v="1.4999999999999999E-2"/>
  </r>
  <r>
    <s v="TXN300018"/>
    <n v="287"/>
    <x v="22"/>
    <x v="528"/>
    <n v="299"/>
    <s v="Card"/>
    <s v="failed"/>
    <n v="72"/>
    <s v="Merchant_026"/>
    <s v="food_delivery"/>
    <s v="East"/>
    <n v="1.4999999999999999E-2"/>
  </r>
  <r>
    <s v="TXN300019"/>
    <n v="287"/>
    <x v="26"/>
    <x v="529"/>
    <n v="499"/>
    <s v="Card"/>
    <s v="captured"/>
    <n v="87"/>
    <s v="Merchant_029"/>
    <s v="ecommerce"/>
    <s v="North"/>
    <n v="1.4999999999999999E-2"/>
  </r>
  <r>
    <s v="TXN300020"/>
    <n v="200"/>
    <x v="16"/>
    <x v="530"/>
    <n v="299"/>
    <s v="Card"/>
    <s v="failed"/>
    <n v="77"/>
    <s v="Merchant_014"/>
    <s v="grocery"/>
    <s v="East"/>
    <n v="1.4999999999999999E-2"/>
  </r>
  <r>
    <s v="TXN300021"/>
    <n v="200"/>
    <x v="32"/>
    <x v="531"/>
    <n v="499"/>
    <s v="Card"/>
    <s v="failed"/>
    <n v="66"/>
    <s v="Merchant_005"/>
    <s v="recharge"/>
    <s v="South"/>
    <n v="1.4999999999999999E-2"/>
  </r>
  <r>
    <s v="TXN300022"/>
    <n v="200"/>
    <x v="8"/>
    <x v="532"/>
    <n v="299"/>
    <s v="Card"/>
    <s v="failed"/>
    <n v="83"/>
    <s v="Merchant_035"/>
    <s v="recharge"/>
    <s v="East"/>
    <n v="1.4999999999999999E-2"/>
  </r>
  <r>
    <s v="TXN300023"/>
    <n v="200"/>
    <x v="17"/>
    <x v="533"/>
    <n v="299"/>
    <s v="Card"/>
    <s v="captured"/>
    <n v="89"/>
    <s v="Merchant_021"/>
    <s v="food_delivery"/>
    <s v="East"/>
    <n v="1.4999999999999999E-2"/>
  </r>
  <r>
    <s v="TXN300024"/>
    <n v="59"/>
    <x v="33"/>
    <x v="534"/>
    <n v="499"/>
    <s v="Card"/>
    <s v="failed"/>
    <n v="80"/>
    <s v="Merchant_032"/>
    <s v="food_delivery"/>
    <s v="West"/>
    <n v="1.4999999999999999E-2"/>
  </r>
  <r>
    <s v="TXN300025"/>
    <n v="59"/>
    <x v="38"/>
    <x v="535"/>
    <n v="399"/>
    <s v="Card"/>
    <s v="failed"/>
    <n v="85"/>
    <s v="Merchant_039"/>
    <s v="entertainment"/>
    <s v="North"/>
    <n v="1.4999999999999999E-2"/>
  </r>
  <r>
    <s v="TXN300026"/>
    <n v="59"/>
    <x v="35"/>
    <x v="536"/>
    <n v="299"/>
    <s v="Card"/>
    <s v="failed"/>
    <n v="82"/>
    <s v="Merchant_038"/>
    <s v="grocery"/>
    <s v="East"/>
    <n v="1.4999999999999999E-2"/>
  </r>
  <r>
    <s v="TXN300027"/>
    <n v="59"/>
    <x v="5"/>
    <x v="537"/>
    <n v="399"/>
    <s v="Card"/>
    <s v="captured"/>
    <n v="71"/>
    <s v="Merchant_023"/>
    <s v="travel"/>
    <s v="North"/>
    <n v="1.4999999999999999E-2"/>
  </r>
  <r>
    <s v="TXN300028"/>
    <n v="345"/>
    <x v="12"/>
    <x v="538"/>
    <n v="499"/>
    <s v="Card"/>
    <s v="failed"/>
    <n v="65"/>
    <s v="Merchant_040"/>
    <s v="entertainment"/>
    <s v="South"/>
    <n v="1.4999999999999999E-2"/>
  </r>
  <r>
    <s v="TXN300029"/>
    <n v="345"/>
    <x v="39"/>
    <x v="539"/>
    <n v="399"/>
    <s v="Card"/>
    <s v="failed"/>
    <n v="67"/>
    <s v="Merchant_009"/>
    <s v="ecommerce"/>
    <s v="North"/>
    <n v="1.4999999999999999E-2"/>
  </r>
  <r>
    <s v="TXN300030"/>
    <n v="345"/>
    <x v="0"/>
    <x v="540"/>
    <n v="399"/>
    <s v="Card"/>
    <s v="failed"/>
    <n v="67"/>
    <s v="Merchant_016"/>
    <s v="bill_payment"/>
    <s v="West"/>
    <n v="1.4999999999999999E-2"/>
  </r>
  <r>
    <s v="TXN300031"/>
    <n v="345"/>
    <x v="9"/>
    <x v="541"/>
    <n v="399"/>
    <s v="Card"/>
    <s v="captured"/>
    <n v="69"/>
    <s v="Merchant_012"/>
    <s v="ecommerce"/>
    <s v="East"/>
    <n v="1.4999999999999999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7">
  <r>
    <s v="TXN100000"/>
    <n v="350"/>
    <x v="0"/>
    <d v="2026-01-29T11:13:00"/>
    <n v="2999"/>
    <s v="Wallet"/>
    <x v="0"/>
    <n v="85"/>
    <s v="Merchant_016"/>
    <s v="bill_payment"/>
    <s v="West"/>
    <n v="6.4999999999999997E-3"/>
    <n v="2999"/>
    <s v="Normal Merchant Day"/>
  </r>
  <r>
    <s v="TXN100001"/>
    <n v="287"/>
    <x v="1"/>
    <d v="2026-01-04T11:49:00"/>
    <n v="49"/>
    <s v="UPI"/>
    <x v="0"/>
    <n v="79"/>
    <s v="Merchant_027"/>
    <s v="ecommerce"/>
    <s v="North"/>
    <n v="2E-3"/>
    <n v="49"/>
    <s v="Normal Merchant Day"/>
  </r>
  <r>
    <s v="TXN100002"/>
    <n v="122"/>
    <x v="2"/>
    <d v="2026-01-24T04:59:00"/>
    <n v="1499"/>
    <s v="Wallet"/>
    <x v="0"/>
    <n v="22"/>
    <s v="Merchant_011"/>
    <s v="ecommerce"/>
    <s v="North"/>
    <n v="6.4999999999999997E-3"/>
    <n v="1798"/>
    <s v="Normal Merchant Day"/>
  </r>
  <r>
    <s v="TXN100003"/>
    <n v="92"/>
    <x v="3"/>
    <d v="2026-01-29T13:01:00"/>
    <n v="49"/>
    <s v="Netbanking"/>
    <x v="0"/>
    <n v="100"/>
    <s v="Merchant_022"/>
    <s v="travel"/>
    <s v="South"/>
    <n v="0.01"/>
    <n v="49"/>
    <s v="Normal Merchant Day"/>
  </r>
  <r>
    <s v="TXN100004"/>
    <n v="343"/>
    <x v="0"/>
    <d v="2026-01-30T13:51:00"/>
    <n v="99"/>
    <s v="UPI"/>
    <x v="0"/>
    <n v="34"/>
    <s v="Merchant_016"/>
    <s v="bill_payment"/>
    <s v="West"/>
    <n v="2E-3"/>
    <n v="898"/>
    <s v="Normal Merchant Day"/>
  </r>
  <r>
    <s v="TXN100005"/>
    <n v="196"/>
    <x v="4"/>
    <d v="2026-01-06T22:06:00"/>
    <n v="99"/>
    <s v="UPI"/>
    <x v="0"/>
    <n v="60"/>
    <s v="Merchant_003"/>
    <s v="grocery"/>
    <s v="East"/>
    <n v="2E-3"/>
    <n v="898"/>
    <s v="Normal Merchant Day"/>
  </r>
  <r>
    <s v="TXN100006"/>
    <n v="236"/>
    <x v="5"/>
    <d v="2026-01-08T06:52:00"/>
    <n v="99"/>
    <s v="Wallet"/>
    <x v="0"/>
    <n v="39"/>
    <s v="Merchant_023"/>
    <s v="travel"/>
    <s v="North"/>
    <n v="6.4999999999999997E-3"/>
    <n v="99"/>
    <s v="Normal Merchant Day"/>
  </r>
  <r>
    <s v="TXN100007"/>
    <n v="13"/>
    <x v="6"/>
    <d v="2026-01-27T07:14:00"/>
    <n v="99"/>
    <s v="UPI"/>
    <x v="0"/>
    <n v="51"/>
    <s v="Merchant_013"/>
    <s v="travel"/>
    <s v="East"/>
    <n v="2E-3"/>
    <n v="99"/>
    <s v="Normal Merchant Day"/>
  </r>
  <r>
    <s v="TXN100008"/>
    <n v="36"/>
    <x v="7"/>
    <d v="2026-01-11T08:55:00"/>
    <n v="799"/>
    <s v="UPI"/>
    <x v="0"/>
    <n v="44"/>
    <s v="Merchant_018"/>
    <s v="grocery"/>
    <s v="West"/>
    <n v="2E-3"/>
    <n v="799"/>
    <s v="Normal Merchant Day"/>
  </r>
  <r>
    <s v="TXN100009"/>
    <n v="348"/>
    <x v="8"/>
    <d v="2026-01-21T16:25:00"/>
    <n v="299"/>
    <s v="UPI"/>
    <x v="0"/>
    <n v="42"/>
    <s v="Merchant_035"/>
    <s v="recharge"/>
    <s v="East"/>
    <n v="2E-3"/>
    <n v="299"/>
    <s v="Normal Merchant Day"/>
  </r>
  <r>
    <s v="TXN100010"/>
    <n v="134"/>
    <x v="9"/>
    <d v="2026-01-01T03:56:00"/>
    <n v="49"/>
    <s v="UPI"/>
    <x v="0"/>
    <n v="74"/>
    <s v="Merchant_012"/>
    <s v="ecommerce"/>
    <s v="East"/>
    <n v="2E-3"/>
    <n v="548"/>
    <s v="Normal Merchant Day"/>
  </r>
  <r>
    <s v="TXN100011"/>
    <n v="306"/>
    <x v="10"/>
    <d v="2026-01-09T01:06:00"/>
    <n v="2999"/>
    <s v="Card"/>
    <x v="1"/>
    <n v="44"/>
    <s v="Merchant_028"/>
    <s v="ecommerce"/>
    <s v="South"/>
    <n v="1.4999999999999999E-2"/>
    <n v="2999"/>
    <s v="Normal Merchant Day"/>
  </r>
  <r>
    <s v="TXN100012"/>
    <n v="311"/>
    <x v="11"/>
    <d v="2026-01-24T10:27:00"/>
    <n v="49"/>
    <s v="Wallet"/>
    <x v="0"/>
    <n v="14"/>
    <s v="Merchant_033"/>
    <s v="bill_payment"/>
    <s v="East"/>
    <n v="6.4999999999999997E-3"/>
    <n v="49"/>
    <s v="Normal Merchant Day"/>
  </r>
  <r>
    <s v="TXN100013"/>
    <n v="131"/>
    <x v="4"/>
    <d v="2026-01-13T18:12:00"/>
    <n v="49"/>
    <s v="UPI"/>
    <x v="0"/>
    <n v="90"/>
    <s v="Merchant_003"/>
    <s v="grocery"/>
    <s v="East"/>
    <n v="2E-3"/>
    <n v="198"/>
    <s v="Normal Merchant Day"/>
  </r>
  <r>
    <s v="TXN100014"/>
    <n v="276"/>
    <x v="6"/>
    <d v="2026-01-14T00:33:00"/>
    <n v="1499"/>
    <s v="UPI"/>
    <x v="0"/>
    <n v="46"/>
    <s v="Merchant_013"/>
    <s v="travel"/>
    <s v="East"/>
    <n v="2E-3"/>
    <n v="1499"/>
    <s v="Normal Merchant Day"/>
  </r>
  <r>
    <s v="TXN100015"/>
    <n v="170"/>
    <x v="12"/>
    <d v="2026-01-14T02:42:00"/>
    <n v="99"/>
    <s v="UPI"/>
    <x v="0"/>
    <n v="40"/>
    <s v="Merchant_040"/>
    <s v="entertainment"/>
    <s v="South"/>
    <n v="2E-3"/>
    <n v="99"/>
    <s v="Normal Merchant Day"/>
  </r>
  <r>
    <s v="TXN100016"/>
    <n v="154"/>
    <x v="11"/>
    <d v="2026-01-22T03:46:00"/>
    <n v="99"/>
    <s v="Netbanking"/>
    <x v="0"/>
    <n v="39"/>
    <s v="Merchant_033"/>
    <s v="bill_payment"/>
    <s v="East"/>
    <n v="0.01"/>
    <n v="99"/>
    <s v="Normal Merchant Day"/>
  </r>
  <r>
    <s v="TXN100017"/>
    <n v="207"/>
    <x v="13"/>
    <d v="2026-01-22T13:20:00"/>
    <n v="2999"/>
    <s v="Card"/>
    <x v="0"/>
    <n v="70"/>
    <s v="Merchant_019"/>
    <s v="grocery"/>
    <s v="North"/>
    <n v="1.4999999999999999E-2"/>
    <n v="2999"/>
    <s v="Normal Merchant Day"/>
  </r>
  <r>
    <s v="TXN100018"/>
    <n v="341"/>
    <x v="14"/>
    <d v="2026-01-05T06:26:00"/>
    <n v="2999"/>
    <s v="UPI"/>
    <x v="0"/>
    <n v="86"/>
    <s v="Merchant_025"/>
    <s v="travel"/>
    <s v="South"/>
    <n v="2E-3"/>
    <n v="4498"/>
    <s v="Normal Merchant Day"/>
  </r>
  <r>
    <s v="TXN100019"/>
    <n v="292"/>
    <x v="15"/>
    <d v="2026-01-24T05:39:00"/>
    <n v="49"/>
    <s v="UPI"/>
    <x v="0"/>
    <n v="51"/>
    <s v="Merchant_020"/>
    <s v="food_delivery"/>
    <s v="East"/>
    <n v="2E-3"/>
    <n v="49"/>
    <s v="Normal Merchant Day"/>
  </r>
  <r>
    <s v="TXN100020"/>
    <n v="147"/>
    <x v="16"/>
    <d v="2026-01-18T00:19:00"/>
    <n v="99"/>
    <s v="Card"/>
    <x v="0"/>
    <n v="55"/>
    <s v="Merchant_014"/>
    <s v="grocery"/>
    <s v="East"/>
    <n v="1.4999999999999999E-2"/>
    <n v="99"/>
    <s v="Normal Merchant Day"/>
  </r>
  <r>
    <s v="TXN100021"/>
    <n v="336"/>
    <x v="17"/>
    <d v="2026-01-26T18:38:00"/>
    <n v="99"/>
    <s v="UPI"/>
    <x v="0"/>
    <n v="59"/>
    <s v="Merchant_021"/>
    <s v="food_delivery"/>
    <s v="East"/>
    <n v="2E-3"/>
    <n v="99"/>
    <s v="Normal Merchant Day"/>
  </r>
  <r>
    <s v="TXN100022"/>
    <n v="110"/>
    <x v="11"/>
    <d v="2026-01-15T14:43:00"/>
    <n v="799"/>
    <s v="UPI"/>
    <x v="0"/>
    <n v="60"/>
    <s v="Merchant_033"/>
    <s v="bill_payment"/>
    <s v="East"/>
    <n v="2E-3"/>
    <n v="799"/>
    <s v="Normal Merchant Day"/>
  </r>
  <r>
    <s v="TXN100023"/>
    <n v="338"/>
    <x v="18"/>
    <d v="2026-01-26T23:10:00"/>
    <n v="799"/>
    <s v="UPI"/>
    <x v="2"/>
    <n v="36"/>
    <s v="Merchant_006"/>
    <s v="food_delivery"/>
    <s v="South"/>
    <n v="2E-3"/>
    <n v="897"/>
    <s v="Normal Merchant Day"/>
  </r>
  <r>
    <s v="TXN100024"/>
    <n v="318"/>
    <x v="3"/>
    <d v="2026-01-17T21:40:00"/>
    <n v="799"/>
    <s v="Wallet"/>
    <x v="0"/>
    <n v="11"/>
    <s v="Merchant_022"/>
    <s v="travel"/>
    <s v="South"/>
    <n v="6.4999999999999997E-3"/>
    <n v="1598"/>
    <s v="Normal Merchant Day"/>
  </r>
  <r>
    <s v="TXN100025"/>
    <n v="159"/>
    <x v="19"/>
    <d v="2026-01-27T07:43:00"/>
    <n v="799"/>
    <s v="UPI"/>
    <x v="0"/>
    <n v="25"/>
    <s v="Merchant_015"/>
    <s v="travel"/>
    <s v="North"/>
    <n v="2E-3"/>
    <n v="799"/>
    <s v="Normal Merchant Day"/>
  </r>
  <r>
    <s v="TXN100026"/>
    <n v="126"/>
    <x v="20"/>
    <d v="2026-01-05T00:02:00"/>
    <n v="49"/>
    <s v="Card"/>
    <x v="0"/>
    <n v="78"/>
    <s v="Merchant_031"/>
    <s v="bill_payment"/>
    <s v="East"/>
    <n v="1.4999999999999999E-2"/>
    <n v="49"/>
    <s v="Normal Merchant Day"/>
  </r>
  <r>
    <s v="TXN100027"/>
    <n v="213"/>
    <x v="21"/>
    <d v="2026-01-28T02:29:00"/>
    <n v="99"/>
    <s v="UPI"/>
    <x v="0"/>
    <n v="24"/>
    <s v="Merchant_037"/>
    <s v="entertainment"/>
    <s v="South"/>
    <n v="2E-3"/>
    <n v="697"/>
    <s v="Normal Merchant Day"/>
  </r>
  <r>
    <s v="TXN100028"/>
    <n v="254"/>
    <x v="22"/>
    <d v="2026-01-23T22:24:00"/>
    <n v="99"/>
    <s v="Wallet"/>
    <x v="0"/>
    <n v="31"/>
    <s v="Merchant_026"/>
    <s v="food_delivery"/>
    <s v="East"/>
    <n v="6.4999999999999997E-3"/>
    <n v="99"/>
    <s v="Normal Merchant Day"/>
  </r>
  <r>
    <s v="TXN100029"/>
    <n v="3"/>
    <x v="23"/>
    <d v="2026-01-05T20:44:00"/>
    <n v="1499"/>
    <s v="UPI"/>
    <x v="0"/>
    <n v="99"/>
    <s v="Merchant_007"/>
    <s v="food_delivery"/>
    <s v="East"/>
    <n v="2E-3"/>
    <n v="4498"/>
    <s v="Normal Merchant Day"/>
  </r>
  <r>
    <s v="TXN100030"/>
    <n v="266"/>
    <x v="24"/>
    <d v="2026-01-14T07:11:00"/>
    <n v="499"/>
    <s v="Card"/>
    <x v="0"/>
    <n v="6"/>
    <s v="Merchant_030"/>
    <s v="travel"/>
    <s v="West"/>
    <n v="1.4999999999999999E-2"/>
    <n v="2497"/>
    <s v="Normal Merchant Day"/>
  </r>
  <r>
    <s v="TXN100031"/>
    <n v="63"/>
    <x v="24"/>
    <d v="2026-01-18T07:58:00"/>
    <n v="799"/>
    <s v="UPI"/>
    <x v="0"/>
    <n v="17"/>
    <s v="Merchant_030"/>
    <s v="travel"/>
    <s v="West"/>
    <n v="2E-3"/>
    <n v="799"/>
    <s v="Normal Merchant Day"/>
  </r>
  <r>
    <s v="TXN100032"/>
    <n v="272"/>
    <x v="25"/>
    <d v="2026-01-26T14:42:00"/>
    <n v="149"/>
    <s v="UPI"/>
    <x v="0"/>
    <n v="76"/>
    <s v="Merchant_036"/>
    <s v="entertainment"/>
    <s v="East"/>
    <n v="2E-3"/>
    <n v="198"/>
    <s v="Normal Merchant Day"/>
  </r>
  <r>
    <s v="TXN100033"/>
    <n v="259"/>
    <x v="10"/>
    <d v="2026-01-11T14:39:00"/>
    <n v="49"/>
    <s v="Wallet"/>
    <x v="0"/>
    <n v="70"/>
    <s v="Merchant_028"/>
    <s v="ecommerce"/>
    <s v="South"/>
    <n v="6.4999999999999997E-3"/>
    <n v="49"/>
    <s v="Normal Merchant Day"/>
  </r>
  <r>
    <s v="TXN100034"/>
    <n v="244"/>
    <x v="26"/>
    <d v="2026-01-15T05:47:00"/>
    <n v="299"/>
    <s v="Netbanking"/>
    <x v="0"/>
    <n v="33"/>
    <s v="Merchant_029"/>
    <s v="ecommerce"/>
    <s v="North"/>
    <n v="0.01"/>
    <n v="1098"/>
    <s v="Normal Merchant Day"/>
  </r>
  <r>
    <s v="TXN100035"/>
    <n v="327"/>
    <x v="7"/>
    <d v="2026-01-25T07:53:00"/>
    <n v="149"/>
    <s v="Card"/>
    <x v="0"/>
    <n v="98"/>
    <s v="Merchant_018"/>
    <s v="grocery"/>
    <s v="West"/>
    <n v="1.4999999999999999E-2"/>
    <n v="1648"/>
    <s v="Normal Merchant Day"/>
  </r>
  <r>
    <s v="TXN100036"/>
    <n v="321"/>
    <x v="0"/>
    <d v="2026-01-25T16:31:00"/>
    <n v="49"/>
    <s v="UPI"/>
    <x v="0"/>
    <n v="35"/>
    <s v="Merchant_016"/>
    <s v="bill_payment"/>
    <s v="West"/>
    <n v="2E-3"/>
    <n v="98"/>
    <s v="Normal Merchant Day"/>
  </r>
  <r>
    <s v="TXN100037"/>
    <n v="147"/>
    <x v="0"/>
    <d v="2026-01-15T02:45:00"/>
    <n v="2999"/>
    <s v="Card"/>
    <x v="0"/>
    <n v="34"/>
    <s v="Merchant_016"/>
    <s v="bill_payment"/>
    <s v="West"/>
    <n v="1.4999999999999999E-2"/>
    <n v="2999"/>
    <s v="Normal Merchant Day"/>
  </r>
  <r>
    <s v="TXN100038"/>
    <n v="277"/>
    <x v="18"/>
    <d v="2026-01-11T10:57:00"/>
    <n v="1499"/>
    <s v="Card"/>
    <x v="0"/>
    <n v="17"/>
    <s v="Merchant_006"/>
    <s v="food_delivery"/>
    <s v="South"/>
    <n v="1.4999999999999999E-2"/>
    <n v="1499"/>
    <s v="Normal Merchant Day"/>
  </r>
  <r>
    <s v="TXN100039"/>
    <n v="79"/>
    <x v="16"/>
    <d v="2026-01-05T07:24:00"/>
    <n v="1499"/>
    <s v="UPI"/>
    <x v="0"/>
    <n v="8"/>
    <s v="Merchant_014"/>
    <s v="grocery"/>
    <s v="East"/>
    <n v="2E-3"/>
    <n v="1499"/>
    <s v="Normal Merchant Day"/>
  </r>
  <r>
    <s v="TXN100040"/>
    <n v="278"/>
    <x v="24"/>
    <d v="2026-01-14T13:21:00"/>
    <n v="1499"/>
    <s v="UPI"/>
    <x v="0"/>
    <n v="53"/>
    <s v="Merchant_030"/>
    <s v="travel"/>
    <s v="West"/>
    <n v="2E-3"/>
    <n v="2497"/>
    <s v="Normal Merchant Day"/>
  </r>
  <r>
    <s v="TXN100041"/>
    <n v="216"/>
    <x v="14"/>
    <d v="2026-01-02T06:53:00"/>
    <n v="99"/>
    <s v="UPI"/>
    <x v="0"/>
    <n v="98"/>
    <s v="Merchant_025"/>
    <s v="travel"/>
    <s v="South"/>
    <n v="2E-3"/>
    <n v="99"/>
    <s v="Normal Merchant Day"/>
  </r>
  <r>
    <s v="TXN100042"/>
    <n v="295"/>
    <x v="14"/>
    <d v="2026-01-19T22:01:00"/>
    <n v="1499"/>
    <s v="UPI"/>
    <x v="0"/>
    <n v="61"/>
    <s v="Merchant_025"/>
    <s v="travel"/>
    <s v="South"/>
    <n v="2E-3"/>
    <n v="4498"/>
    <s v="Normal Merchant Day"/>
  </r>
  <r>
    <s v="TXN100043"/>
    <n v="200"/>
    <x v="1"/>
    <d v="2026-01-01T11:19:00"/>
    <n v="149"/>
    <s v="UPI"/>
    <x v="0"/>
    <n v="68"/>
    <s v="Merchant_027"/>
    <s v="ecommerce"/>
    <s v="North"/>
    <n v="2E-3"/>
    <n v="149"/>
    <s v="Normal Merchant Day"/>
  </r>
  <r>
    <s v="TXN100044"/>
    <n v="309"/>
    <x v="19"/>
    <d v="2026-01-24T23:34:00"/>
    <n v="99"/>
    <s v="Netbanking"/>
    <x v="0"/>
    <n v="62"/>
    <s v="Merchant_015"/>
    <s v="travel"/>
    <s v="North"/>
    <n v="0.01"/>
    <n v="148"/>
    <s v="Normal Merchant Day"/>
  </r>
  <r>
    <s v="TXN100045"/>
    <n v="249"/>
    <x v="27"/>
    <d v="2026-01-08T08:27:00"/>
    <n v="299"/>
    <s v="Wallet"/>
    <x v="0"/>
    <n v="49"/>
    <s v="Merchant_002"/>
    <s v="grocery"/>
    <s v="West"/>
    <n v="6.4999999999999997E-3"/>
    <n v="299"/>
    <s v="Normal Merchant Day"/>
  </r>
  <r>
    <s v="TXN100046"/>
    <n v="208"/>
    <x v="2"/>
    <d v="2026-01-11T21:43:00"/>
    <n v="4999"/>
    <s v="Netbanking"/>
    <x v="0"/>
    <n v="59"/>
    <s v="Merchant_011"/>
    <s v="ecommerce"/>
    <s v="North"/>
    <n v="0.01"/>
    <n v="4999"/>
    <s v="Normal Merchant Day"/>
  </r>
  <r>
    <s v="TXN100047"/>
    <n v="274"/>
    <x v="27"/>
    <d v="2026-01-30T04:39:00"/>
    <n v="299"/>
    <s v="UPI"/>
    <x v="0"/>
    <n v="50"/>
    <s v="Merchant_002"/>
    <s v="grocery"/>
    <s v="West"/>
    <n v="2E-3"/>
    <n v="299"/>
    <s v="Normal Merchant Day"/>
  </r>
  <r>
    <s v="TXN100048"/>
    <n v="14"/>
    <x v="18"/>
    <d v="2026-01-19T18:42:00"/>
    <n v="49"/>
    <s v="Wallet"/>
    <x v="0"/>
    <n v="82"/>
    <s v="Merchant_006"/>
    <s v="food_delivery"/>
    <s v="South"/>
    <n v="6.4999999999999997E-3"/>
    <n v="49"/>
    <s v="Normal Merchant Day"/>
  </r>
  <r>
    <s v="TXN100049"/>
    <n v="237"/>
    <x v="9"/>
    <d v="2026-01-14T04:55:00"/>
    <n v="49"/>
    <s v="UPI"/>
    <x v="0"/>
    <n v="6"/>
    <s v="Merchant_012"/>
    <s v="ecommerce"/>
    <s v="East"/>
    <n v="2E-3"/>
    <n v="548"/>
    <s v="Normal Merchant Day"/>
  </r>
  <r>
    <s v="TXN100050"/>
    <n v="109"/>
    <x v="24"/>
    <d v="2026-01-09T12:20:00"/>
    <n v="99"/>
    <s v="UPI"/>
    <x v="0"/>
    <n v="41"/>
    <s v="Merchant_030"/>
    <s v="travel"/>
    <s v="West"/>
    <n v="2E-3"/>
    <n v="99"/>
    <s v="Normal Merchant Day"/>
  </r>
  <r>
    <s v="TXN100051"/>
    <n v="216"/>
    <x v="28"/>
    <d v="2026-01-11T12:17:00"/>
    <n v="4999"/>
    <s v="UPI"/>
    <x v="0"/>
    <n v="10"/>
    <s v="Merchant_017"/>
    <s v="grocery"/>
    <s v="North"/>
    <n v="2E-3"/>
    <n v="7998"/>
    <s v="High-Value Merchant Day"/>
  </r>
  <r>
    <s v="TXN100052"/>
    <n v="277"/>
    <x v="29"/>
    <d v="2026-01-16T00:47:00"/>
    <n v="799"/>
    <s v="UPI"/>
    <x v="0"/>
    <n v="44"/>
    <s v="Merchant_004"/>
    <s v="ecommerce"/>
    <s v="East"/>
    <n v="2E-3"/>
    <n v="799"/>
    <s v="Normal Merchant Day"/>
  </r>
  <r>
    <s v="TXN100053"/>
    <n v="334"/>
    <x v="4"/>
    <d v="2026-01-08T20:04:00"/>
    <n v="149"/>
    <s v="Wallet"/>
    <x v="0"/>
    <n v="96"/>
    <s v="Merchant_003"/>
    <s v="grocery"/>
    <s v="East"/>
    <n v="6.4999999999999997E-3"/>
    <n v="149"/>
    <s v="Normal Merchant Day"/>
  </r>
  <r>
    <s v="TXN100054"/>
    <n v="11"/>
    <x v="12"/>
    <d v="2026-01-01T07:12:00"/>
    <n v="299"/>
    <s v="UPI"/>
    <x v="0"/>
    <n v="19"/>
    <s v="Merchant_040"/>
    <s v="entertainment"/>
    <s v="South"/>
    <n v="2E-3"/>
    <n v="299"/>
    <s v="Normal Merchant Day"/>
  </r>
  <r>
    <s v="TXN100055"/>
    <n v="343"/>
    <x v="30"/>
    <d v="2026-01-08T04:30:00"/>
    <n v="99"/>
    <s v="UPI"/>
    <x v="0"/>
    <n v="72"/>
    <s v="Merchant_008"/>
    <s v="food_delivery"/>
    <s v="North"/>
    <n v="2E-3"/>
    <n v="99"/>
    <s v="Normal Merchant Day"/>
  </r>
  <r>
    <s v="TXN100056"/>
    <n v="132"/>
    <x v="31"/>
    <d v="2026-01-07T14:44:00"/>
    <n v="299"/>
    <s v="Wallet"/>
    <x v="0"/>
    <n v="21"/>
    <s v="Merchant_024"/>
    <s v="grocery"/>
    <s v="North"/>
    <n v="6.4999999999999997E-3"/>
    <n v="299"/>
    <s v="Normal Merchant Day"/>
  </r>
  <r>
    <s v="TXN100057"/>
    <n v="59"/>
    <x v="2"/>
    <d v="2026-01-20T19:47:00"/>
    <n v="299"/>
    <s v="UPI"/>
    <x v="0"/>
    <n v="39"/>
    <s v="Merchant_011"/>
    <s v="ecommerce"/>
    <s v="North"/>
    <n v="2E-3"/>
    <n v="299"/>
    <s v="Normal Merchant Day"/>
  </r>
  <r>
    <s v="TXN100058"/>
    <n v="160"/>
    <x v="21"/>
    <d v="2026-01-04T18:01:00"/>
    <n v="49"/>
    <s v="Wallet"/>
    <x v="0"/>
    <n v="86"/>
    <s v="Merchant_037"/>
    <s v="entertainment"/>
    <s v="South"/>
    <n v="6.4999999999999997E-3"/>
    <n v="49"/>
    <s v="Normal Merchant Day"/>
  </r>
  <r>
    <s v="TXN100059"/>
    <n v="102"/>
    <x v="32"/>
    <d v="2026-01-30T12:25:00"/>
    <n v="2999"/>
    <s v="UPI"/>
    <x v="0"/>
    <n v="75"/>
    <s v="Merchant_005"/>
    <s v="recharge"/>
    <s v="South"/>
    <n v="2E-3"/>
    <n v="2999"/>
    <s v="Normal Merchant Day"/>
  </r>
  <r>
    <s v="TXN100060"/>
    <n v="53"/>
    <x v="15"/>
    <d v="2026-01-23T20:15:00"/>
    <n v="49"/>
    <s v="Netbanking"/>
    <x v="0"/>
    <n v="87"/>
    <s v="Merchant_020"/>
    <s v="food_delivery"/>
    <s v="East"/>
    <n v="0.01"/>
    <n v="49"/>
    <s v="Normal Merchant Day"/>
  </r>
  <r>
    <s v="TXN100061"/>
    <n v="290"/>
    <x v="4"/>
    <d v="2026-01-20T03:50:00"/>
    <n v="99"/>
    <s v="Wallet"/>
    <x v="0"/>
    <n v="44"/>
    <s v="Merchant_003"/>
    <s v="grocery"/>
    <s v="East"/>
    <n v="6.4999999999999997E-3"/>
    <n v="99"/>
    <s v="Normal Merchant Day"/>
  </r>
  <r>
    <s v="TXN100062"/>
    <n v="190"/>
    <x v="32"/>
    <d v="2026-01-18T13:42:00"/>
    <n v="299"/>
    <s v="UPI"/>
    <x v="0"/>
    <n v="64"/>
    <s v="Merchant_005"/>
    <s v="recharge"/>
    <s v="South"/>
    <n v="2E-3"/>
    <n v="299"/>
    <s v="Normal Merchant Day"/>
  </r>
  <r>
    <s v="TXN100063"/>
    <n v="216"/>
    <x v="33"/>
    <d v="2026-01-21T10:00:00"/>
    <n v="49"/>
    <s v="Card"/>
    <x v="0"/>
    <n v="13"/>
    <s v="Merchant_032"/>
    <s v="food_delivery"/>
    <s v="West"/>
    <n v="1.4999999999999999E-2"/>
    <n v="348"/>
    <s v="Normal Merchant Day"/>
  </r>
  <r>
    <s v="TXN100064"/>
    <n v="236"/>
    <x v="34"/>
    <d v="2026-01-14T11:40:00"/>
    <n v="499"/>
    <s v="UPI"/>
    <x v="0"/>
    <n v="55"/>
    <s v="Merchant_010"/>
    <s v="grocery"/>
    <s v="West"/>
    <n v="2E-3"/>
    <n v="499"/>
    <s v="Normal Merchant Day"/>
  </r>
  <r>
    <s v="TXN100065"/>
    <n v="334"/>
    <x v="7"/>
    <d v="2026-01-06T23:33:00"/>
    <n v="499"/>
    <s v="Card"/>
    <x v="0"/>
    <n v="78"/>
    <s v="Merchant_018"/>
    <s v="grocery"/>
    <s v="West"/>
    <n v="1.4999999999999999E-2"/>
    <n v="499"/>
    <s v="Normal Merchant Day"/>
  </r>
  <r>
    <s v="TXN100066"/>
    <n v="248"/>
    <x v="24"/>
    <d v="2026-01-26T17:49:00"/>
    <n v="799"/>
    <s v="Wallet"/>
    <x v="0"/>
    <n v="55"/>
    <s v="Merchant_030"/>
    <s v="travel"/>
    <s v="West"/>
    <n v="6.4999999999999997E-3"/>
    <n v="799"/>
    <s v="Normal Merchant Day"/>
  </r>
  <r>
    <s v="TXN100067"/>
    <n v="138"/>
    <x v="17"/>
    <d v="2026-01-27T23:37:00"/>
    <n v="49"/>
    <s v="Card"/>
    <x v="0"/>
    <n v="31"/>
    <s v="Merchant_021"/>
    <s v="food_delivery"/>
    <s v="East"/>
    <n v="1.4999999999999999E-2"/>
    <n v="49"/>
    <s v="Normal Merchant Day"/>
  </r>
  <r>
    <s v="TXN100068"/>
    <n v="231"/>
    <x v="0"/>
    <d v="2026-01-27T02:17:00"/>
    <n v="49"/>
    <s v="UPI"/>
    <x v="0"/>
    <n v="96"/>
    <s v="Merchant_016"/>
    <s v="bill_payment"/>
    <s v="West"/>
    <n v="2E-3"/>
    <n v="348"/>
    <s v="Normal Merchant Day"/>
  </r>
  <r>
    <s v="TXN100069"/>
    <n v="343"/>
    <x v="14"/>
    <d v="2026-01-15T18:39:00"/>
    <n v="49"/>
    <s v="UPI"/>
    <x v="0"/>
    <n v="43"/>
    <s v="Merchant_025"/>
    <s v="travel"/>
    <s v="South"/>
    <n v="2E-3"/>
    <n v="49"/>
    <s v="Normal Merchant Day"/>
  </r>
  <r>
    <s v="TXN100070"/>
    <n v="167"/>
    <x v="9"/>
    <d v="2026-01-01T15:54:00"/>
    <n v="499"/>
    <s v="Wallet"/>
    <x v="0"/>
    <n v="62"/>
    <s v="Merchant_012"/>
    <s v="ecommerce"/>
    <s v="East"/>
    <n v="6.4999999999999997E-3"/>
    <n v="548"/>
    <s v="Normal Merchant Day"/>
  </r>
  <r>
    <s v="TXN100071"/>
    <n v="133"/>
    <x v="3"/>
    <d v="2026-01-07T11:51:00"/>
    <n v="499"/>
    <s v="UPI"/>
    <x v="0"/>
    <n v="35"/>
    <s v="Merchant_022"/>
    <s v="travel"/>
    <s v="South"/>
    <n v="2E-3"/>
    <n v="499"/>
    <s v="Normal Merchant Day"/>
  </r>
  <r>
    <s v="TXN100072"/>
    <n v="142"/>
    <x v="25"/>
    <d v="2026-01-29T19:44:00"/>
    <n v="799"/>
    <s v="Wallet"/>
    <x v="0"/>
    <n v="1"/>
    <s v="Merchant_036"/>
    <s v="entertainment"/>
    <s v="East"/>
    <n v="6.4999999999999997E-3"/>
    <n v="799"/>
    <s v="Normal Merchant Day"/>
  </r>
  <r>
    <s v="TXN100073"/>
    <n v="124"/>
    <x v="1"/>
    <d v="2026-01-17T06:05:00"/>
    <n v="499"/>
    <s v="Wallet"/>
    <x v="0"/>
    <n v="62"/>
    <s v="Merchant_027"/>
    <s v="ecommerce"/>
    <s v="North"/>
    <n v="6.4999999999999997E-3"/>
    <n v="1597"/>
    <s v="Normal Merchant Day"/>
  </r>
  <r>
    <s v="TXN100074"/>
    <n v="244"/>
    <x v="33"/>
    <d v="2026-01-18T07:44:00"/>
    <n v="149"/>
    <s v="UPI"/>
    <x v="0"/>
    <n v="57"/>
    <s v="Merchant_032"/>
    <s v="food_delivery"/>
    <s v="West"/>
    <n v="2E-3"/>
    <n v="149"/>
    <s v="Normal Merchant Day"/>
  </r>
  <r>
    <s v="TXN100075"/>
    <n v="151"/>
    <x v="19"/>
    <d v="2026-01-26T00:05:00"/>
    <n v="4999"/>
    <s v="UPI"/>
    <x v="0"/>
    <n v="51"/>
    <s v="Merchant_015"/>
    <s v="travel"/>
    <s v="North"/>
    <n v="2E-3"/>
    <n v="4999"/>
    <s v="Normal Merchant Day"/>
  </r>
  <r>
    <s v="TXN100076"/>
    <n v="340"/>
    <x v="35"/>
    <d v="2026-01-23T07:19:00"/>
    <n v="499"/>
    <s v="Card"/>
    <x v="0"/>
    <n v="47"/>
    <s v="Merchant_038"/>
    <s v="grocery"/>
    <s v="East"/>
    <n v="1.4999999999999999E-2"/>
    <n v="499"/>
    <s v="Normal Merchant Day"/>
  </r>
  <r>
    <s v="TXN100077"/>
    <n v="177"/>
    <x v="10"/>
    <d v="2026-01-16T17:33:00"/>
    <n v="299"/>
    <s v="UPI"/>
    <x v="0"/>
    <n v="95"/>
    <s v="Merchant_028"/>
    <s v="ecommerce"/>
    <s v="South"/>
    <n v="2E-3"/>
    <n v="299"/>
    <s v="Normal Merchant Day"/>
  </r>
  <r>
    <s v="TXN100078"/>
    <n v="233"/>
    <x v="7"/>
    <d v="2026-01-18T10:22:00"/>
    <n v="499"/>
    <s v="UPI"/>
    <x v="0"/>
    <n v="39"/>
    <s v="Merchant_018"/>
    <s v="grocery"/>
    <s v="West"/>
    <n v="2E-3"/>
    <n v="499"/>
    <s v="Normal Merchant Day"/>
  </r>
  <r>
    <s v="TXN100079"/>
    <n v="99"/>
    <x v="17"/>
    <d v="2026-01-09T07:07:00"/>
    <n v="499"/>
    <s v="UPI"/>
    <x v="0"/>
    <n v="15"/>
    <s v="Merchant_021"/>
    <s v="food_delivery"/>
    <s v="East"/>
    <n v="2E-3"/>
    <n v="499"/>
    <s v="Normal Merchant Day"/>
  </r>
  <r>
    <s v="TXN100080"/>
    <n v="95"/>
    <x v="6"/>
    <d v="2026-01-24T17:48:00"/>
    <n v="2999"/>
    <s v="Netbanking"/>
    <x v="1"/>
    <n v="27"/>
    <s v="Merchant_013"/>
    <s v="travel"/>
    <s v="East"/>
    <n v="0.01"/>
    <n v="2999"/>
    <s v="Normal Merchant Day"/>
  </r>
  <r>
    <s v="TXN100081"/>
    <n v="302"/>
    <x v="36"/>
    <d v="2026-01-24T15:17:00"/>
    <n v="49"/>
    <s v="Netbanking"/>
    <x v="0"/>
    <n v="76"/>
    <s v="Merchant_034"/>
    <s v="travel"/>
    <s v="South"/>
    <n v="0.01"/>
    <n v="548"/>
    <s v="Normal Merchant Day"/>
  </r>
  <r>
    <s v="TXN100082"/>
    <n v="100"/>
    <x v="13"/>
    <d v="2026-01-10T03:53:00"/>
    <n v="2999"/>
    <s v="Netbanking"/>
    <x v="0"/>
    <n v="29"/>
    <s v="Merchant_019"/>
    <s v="grocery"/>
    <s v="North"/>
    <n v="0.01"/>
    <n v="2999"/>
    <s v="Normal Merchant Day"/>
  </r>
  <r>
    <s v="TXN100083"/>
    <n v="8"/>
    <x v="8"/>
    <d v="2026-01-12T05:19:00"/>
    <n v="99"/>
    <s v="UPI"/>
    <x v="0"/>
    <n v="16"/>
    <s v="Merchant_035"/>
    <s v="recharge"/>
    <s v="East"/>
    <n v="2E-3"/>
    <n v="99"/>
    <s v="Normal Merchant Day"/>
  </r>
  <r>
    <s v="TXN100084"/>
    <n v="284"/>
    <x v="13"/>
    <d v="2026-01-09T01:03:00"/>
    <n v="99"/>
    <s v="UPI"/>
    <x v="0"/>
    <n v="89"/>
    <s v="Merchant_019"/>
    <s v="grocery"/>
    <s v="North"/>
    <n v="2E-3"/>
    <n v="99"/>
    <s v="Normal Merchant Day"/>
  </r>
  <r>
    <s v="TXN100085"/>
    <n v="252"/>
    <x v="23"/>
    <d v="2026-01-05T20:55:00"/>
    <n v="2999"/>
    <s v="Wallet"/>
    <x v="0"/>
    <n v="1"/>
    <s v="Merchant_007"/>
    <s v="food_delivery"/>
    <s v="East"/>
    <n v="6.4999999999999997E-3"/>
    <n v="4498"/>
    <s v="Normal Merchant Day"/>
  </r>
  <r>
    <s v="TXN100086"/>
    <n v="246"/>
    <x v="26"/>
    <d v="2026-01-19T09:30:00"/>
    <n v="49"/>
    <s v="Wallet"/>
    <x v="0"/>
    <n v="43"/>
    <s v="Merchant_029"/>
    <s v="ecommerce"/>
    <s v="North"/>
    <n v="6.4999999999999997E-3"/>
    <n v="49"/>
    <s v="Normal Merchant Day"/>
  </r>
  <r>
    <s v="TXN100087"/>
    <n v="245"/>
    <x v="30"/>
    <d v="2026-01-06T01:16:00"/>
    <n v="49"/>
    <s v="UPI"/>
    <x v="2"/>
    <n v="8"/>
    <s v="Merchant_008"/>
    <s v="food_delivery"/>
    <s v="North"/>
    <n v="2E-3"/>
    <n v="49"/>
    <s v="Normal Merchant Day"/>
  </r>
  <r>
    <s v="TXN100088"/>
    <n v="296"/>
    <x v="29"/>
    <d v="2026-01-13T15:04:00"/>
    <n v="799"/>
    <s v="Wallet"/>
    <x v="0"/>
    <n v="19"/>
    <s v="Merchant_004"/>
    <s v="ecommerce"/>
    <s v="East"/>
    <n v="6.4999999999999997E-3"/>
    <n v="948"/>
    <s v="Normal Merchant Day"/>
  </r>
  <r>
    <s v="TXN100089"/>
    <n v="44"/>
    <x v="0"/>
    <d v="2026-01-05T18:19:00"/>
    <n v="149"/>
    <s v="UPI"/>
    <x v="0"/>
    <n v="15"/>
    <s v="Merchant_016"/>
    <s v="bill_payment"/>
    <s v="West"/>
    <n v="2E-3"/>
    <n v="149"/>
    <s v="Normal Merchant Day"/>
  </r>
  <r>
    <s v="TXN100090"/>
    <n v="306"/>
    <x v="12"/>
    <d v="2026-01-18T13:38:00"/>
    <n v="799"/>
    <s v="Card"/>
    <x v="0"/>
    <n v="28"/>
    <s v="Merchant_040"/>
    <s v="entertainment"/>
    <s v="South"/>
    <n v="1.4999999999999999E-2"/>
    <n v="799"/>
    <s v="Normal Merchant Day"/>
  </r>
  <r>
    <s v="TXN100091"/>
    <n v="231"/>
    <x v="26"/>
    <d v="2026-01-25T16:24:00"/>
    <n v="299"/>
    <s v="UPI"/>
    <x v="0"/>
    <n v="38"/>
    <s v="Merchant_029"/>
    <s v="ecommerce"/>
    <s v="North"/>
    <n v="2E-3"/>
    <n v="3896"/>
    <s v="Normal Merchant Day"/>
  </r>
  <r>
    <s v="TXN100092"/>
    <n v="157"/>
    <x v="21"/>
    <d v="2026-01-28T18:27:00"/>
    <n v="499"/>
    <s v="Wallet"/>
    <x v="0"/>
    <n v="79"/>
    <s v="Merchant_037"/>
    <s v="entertainment"/>
    <s v="South"/>
    <n v="6.4999999999999997E-3"/>
    <n v="697"/>
    <s v="Normal Merchant Day"/>
  </r>
  <r>
    <s v="TXN100093"/>
    <n v="51"/>
    <x v="16"/>
    <d v="2026-01-02T19:47:00"/>
    <n v="1499"/>
    <s v="UPI"/>
    <x v="0"/>
    <n v="80"/>
    <s v="Merchant_014"/>
    <s v="grocery"/>
    <s v="East"/>
    <n v="2E-3"/>
    <n v="1499"/>
    <s v="Normal Merchant Day"/>
  </r>
  <r>
    <s v="TXN100094"/>
    <n v="42"/>
    <x v="2"/>
    <d v="2026-01-07T08:42:00"/>
    <n v="49"/>
    <s v="Wallet"/>
    <x v="0"/>
    <n v="30"/>
    <s v="Merchant_011"/>
    <s v="ecommerce"/>
    <s v="North"/>
    <n v="6.4999999999999997E-3"/>
    <n v="49"/>
    <s v="Normal Merchant Day"/>
  </r>
  <r>
    <s v="TXN100095"/>
    <n v="81"/>
    <x v="37"/>
    <d v="2026-01-06T17:04:00"/>
    <n v="149"/>
    <s v="UPI"/>
    <x v="0"/>
    <n v="52"/>
    <s v="Merchant_001"/>
    <s v="ecommerce"/>
    <s v="South"/>
    <n v="2E-3"/>
    <n v="149"/>
    <s v="Normal Merchant Day"/>
  </r>
  <r>
    <s v="TXN100096"/>
    <n v="241"/>
    <x v="13"/>
    <d v="2026-01-15T22:38:00"/>
    <n v="299"/>
    <s v="UPI"/>
    <x v="0"/>
    <n v="4"/>
    <s v="Merchant_019"/>
    <s v="grocery"/>
    <s v="North"/>
    <n v="2E-3"/>
    <n v="398"/>
    <s v="Normal Merchant Day"/>
  </r>
  <r>
    <s v="TXN100097"/>
    <n v="145"/>
    <x v="24"/>
    <d v="2026-01-08T09:45:00"/>
    <n v="799"/>
    <s v="UPI"/>
    <x v="0"/>
    <n v="9"/>
    <s v="Merchant_030"/>
    <s v="travel"/>
    <s v="West"/>
    <n v="2E-3"/>
    <n v="1197"/>
    <s v="Normal Merchant Day"/>
  </r>
  <r>
    <s v="TXN100098"/>
    <n v="136"/>
    <x v="35"/>
    <d v="2026-01-22T07:59:00"/>
    <n v="299"/>
    <s v="Card"/>
    <x v="0"/>
    <n v="84"/>
    <s v="Merchant_038"/>
    <s v="grocery"/>
    <s v="East"/>
    <n v="1.4999999999999999E-2"/>
    <n v="299"/>
    <s v="Normal Merchant Day"/>
  </r>
  <r>
    <s v="TXN100099"/>
    <n v="59"/>
    <x v="8"/>
    <d v="2026-01-26T06:27:00"/>
    <n v="499"/>
    <s v="UPI"/>
    <x v="0"/>
    <n v="28"/>
    <s v="Merchant_035"/>
    <s v="recharge"/>
    <s v="East"/>
    <n v="2E-3"/>
    <n v="499"/>
    <s v="Normal Merchant Day"/>
  </r>
  <r>
    <s v="TXN100100"/>
    <n v="137"/>
    <x v="34"/>
    <d v="2026-01-21T04:58:00"/>
    <n v="299"/>
    <s v="UPI"/>
    <x v="0"/>
    <n v="9"/>
    <s v="Merchant_010"/>
    <s v="grocery"/>
    <s v="West"/>
    <n v="2E-3"/>
    <n v="398"/>
    <s v="Normal Merchant Day"/>
  </r>
  <r>
    <s v="TXN100101"/>
    <n v="158"/>
    <x v="38"/>
    <d v="2026-01-02T05:50:00"/>
    <n v="499"/>
    <s v="Netbanking"/>
    <x v="0"/>
    <n v="95"/>
    <s v="Merchant_039"/>
    <s v="entertainment"/>
    <s v="North"/>
    <n v="0.01"/>
    <n v="499"/>
    <s v="Normal Merchant Day"/>
  </r>
  <r>
    <s v="TXN100102"/>
    <n v="148"/>
    <x v="26"/>
    <d v="2026-01-27T18:58:00"/>
    <n v="99"/>
    <s v="Card"/>
    <x v="0"/>
    <n v="15"/>
    <s v="Merchant_029"/>
    <s v="ecommerce"/>
    <s v="North"/>
    <n v="1.4999999999999999E-2"/>
    <n v="898"/>
    <s v="Normal Merchant Day"/>
  </r>
  <r>
    <s v="TXN100103"/>
    <n v="207"/>
    <x v="7"/>
    <d v="2026-01-15T22:19:00"/>
    <n v="149"/>
    <s v="UPI"/>
    <x v="0"/>
    <n v="64"/>
    <s v="Merchant_018"/>
    <s v="grocery"/>
    <s v="West"/>
    <n v="2E-3"/>
    <n v="149"/>
    <s v="Normal Merchant Day"/>
  </r>
  <r>
    <s v="TXN100104"/>
    <n v="42"/>
    <x v="38"/>
    <d v="2026-01-18T15:28:00"/>
    <n v="2999"/>
    <s v="Card"/>
    <x v="0"/>
    <n v="5"/>
    <s v="Merchant_039"/>
    <s v="entertainment"/>
    <s v="North"/>
    <n v="1.4999999999999999E-2"/>
    <n v="2999"/>
    <s v="Normal Merchant Day"/>
  </r>
  <r>
    <s v="TXN100105"/>
    <n v="166"/>
    <x v="38"/>
    <d v="2026-01-29T13:47:00"/>
    <n v="149"/>
    <s v="UPI"/>
    <x v="0"/>
    <n v="32"/>
    <s v="Merchant_039"/>
    <s v="entertainment"/>
    <s v="North"/>
    <n v="2E-3"/>
    <n v="149"/>
    <s v="Normal Merchant Day"/>
  </r>
  <r>
    <s v="TXN100106"/>
    <n v="346"/>
    <x v="21"/>
    <d v="2026-01-01T02:14:00"/>
    <n v="99"/>
    <s v="UPI"/>
    <x v="0"/>
    <n v="75"/>
    <s v="Merchant_037"/>
    <s v="entertainment"/>
    <s v="South"/>
    <n v="2E-3"/>
    <n v="598"/>
    <s v="Normal Merchant Day"/>
  </r>
  <r>
    <s v="TXN100107"/>
    <n v="138"/>
    <x v="21"/>
    <d v="2026-01-01T21:52:00"/>
    <n v="499"/>
    <s v="UPI"/>
    <x v="0"/>
    <n v="5"/>
    <s v="Merchant_037"/>
    <s v="entertainment"/>
    <s v="South"/>
    <n v="2E-3"/>
    <n v="598"/>
    <s v="Normal Merchant Day"/>
  </r>
  <r>
    <s v="TXN100108"/>
    <n v="266"/>
    <x v="26"/>
    <d v="2026-01-25T05:30:00"/>
    <n v="499"/>
    <s v="Wallet"/>
    <x v="1"/>
    <n v="35"/>
    <s v="Merchant_029"/>
    <s v="ecommerce"/>
    <s v="North"/>
    <n v="6.4999999999999997E-3"/>
    <n v="3896"/>
    <s v="Normal Merchant Day"/>
  </r>
  <r>
    <s v="TXN100109"/>
    <n v="326"/>
    <x v="33"/>
    <d v="2026-01-06T18:27:00"/>
    <n v="149"/>
    <s v="UPI"/>
    <x v="0"/>
    <n v="11"/>
    <s v="Merchant_032"/>
    <s v="food_delivery"/>
    <s v="West"/>
    <n v="2E-3"/>
    <n v="149"/>
    <s v="Normal Merchant Day"/>
  </r>
  <r>
    <s v="TXN100110"/>
    <n v="171"/>
    <x v="17"/>
    <d v="2026-01-16T11:26:00"/>
    <n v="799"/>
    <s v="UPI"/>
    <x v="0"/>
    <n v="85"/>
    <s v="Merchant_021"/>
    <s v="food_delivery"/>
    <s v="East"/>
    <n v="2E-3"/>
    <n v="799"/>
    <s v="Normal Merchant Day"/>
  </r>
  <r>
    <s v="TXN100111"/>
    <n v="211"/>
    <x v="33"/>
    <d v="2026-01-04T05:21:00"/>
    <n v="49"/>
    <s v="UPI"/>
    <x v="0"/>
    <n v="36"/>
    <s v="Merchant_032"/>
    <s v="food_delivery"/>
    <s v="West"/>
    <n v="2E-3"/>
    <n v="49"/>
    <s v="Normal Merchant Day"/>
  </r>
  <r>
    <s v="TXN100112"/>
    <n v="282"/>
    <x v="4"/>
    <d v="2026-01-22T12:52:00"/>
    <n v="499"/>
    <s v="UPI"/>
    <x v="0"/>
    <n v="58"/>
    <s v="Merchant_003"/>
    <s v="grocery"/>
    <s v="East"/>
    <n v="2E-3"/>
    <n v="499"/>
    <s v="Normal Merchant Day"/>
  </r>
  <r>
    <s v="TXN100113"/>
    <n v="166"/>
    <x v="30"/>
    <d v="2026-01-03T10:16:00"/>
    <n v="299"/>
    <s v="UPI"/>
    <x v="0"/>
    <n v="98"/>
    <s v="Merchant_008"/>
    <s v="food_delivery"/>
    <s v="North"/>
    <n v="2E-3"/>
    <n v="299"/>
    <s v="Normal Merchant Day"/>
  </r>
  <r>
    <s v="TXN100114"/>
    <n v="1"/>
    <x v="8"/>
    <d v="2026-01-13T16:52:00"/>
    <n v="149"/>
    <s v="UPI"/>
    <x v="0"/>
    <n v="59"/>
    <s v="Merchant_035"/>
    <s v="recharge"/>
    <s v="East"/>
    <n v="2E-3"/>
    <n v="149"/>
    <s v="Normal Merchant Day"/>
  </r>
  <r>
    <s v="TXN100115"/>
    <n v="266"/>
    <x v="31"/>
    <d v="2026-01-14T01:12:00"/>
    <n v="499"/>
    <s v="UPI"/>
    <x v="0"/>
    <n v="79"/>
    <s v="Merchant_024"/>
    <s v="grocery"/>
    <s v="North"/>
    <n v="2E-3"/>
    <n v="499"/>
    <s v="Normal Merchant Day"/>
  </r>
  <r>
    <s v="TXN100116"/>
    <n v="227"/>
    <x v="29"/>
    <d v="2026-01-25T15:40:00"/>
    <n v="499"/>
    <s v="UPI"/>
    <x v="0"/>
    <n v="26"/>
    <s v="Merchant_004"/>
    <s v="ecommerce"/>
    <s v="East"/>
    <n v="2E-3"/>
    <n v="1998"/>
    <s v="Normal Merchant Day"/>
  </r>
  <r>
    <s v="TXN100117"/>
    <n v="148"/>
    <x v="26"/>
    <d v="2026-01-09T17:08:00"/>
    <n v="499"/>
    <s v="UPI"/>
    <x v="0"/>
    <n v="89"/>
    <s v="Merchant_029"/>
    <s v="ecommerce"/>
    <s v="North"/>
    <n v="2E-3"/>
    <n v="499"/>
    <s v="Normal Merchant Day"/>
  </r>
  <r>
    <s v="TXN100118"/>
    <n v="323"/>
    <x v="38"/>
    <d v="2026-01-16T03:01:00"/>
    <n v="499"/>
    <s v="UPI"/>
    <x v="0"/>
    <n v="30"/>
    <s v="Merchant_039"/>
    <s v="entertainment"/>
    <s v="North"/>
    <n v="2E-3"/>
    <n v="499"/>
    <s v="Normal Merchant Day"/>
  </r>
  <r>
    <s v="TXN100119"/>
    <n v="283"/>
    <x v="37"/>
    <d v="2026-01-23T05:19:00"/>
    <n v="2999"/>
    <s v="Wallet"/>
    <x v="0"/>
    <n v="70"/>
    <s v="Merchant_001"/>
    <s v="ecommerce"/>
    <s v="South"/>
    <n v="6.4999999999999997E-3"/>
    <n v="3148"/>
    <s v="Normal Merchant Day"/>
  </r>
  <r>
    <s v="TXN100120"/>
    <n v="59"/>
    <x v="24"/>
    <d v="2026-01-14T02:14:00"/>
    <n v="499"/>
    <s v="UPI"/>
    <x v="0"/>
    <n v="15"/>
    <s v="Merchant_030"/>
    <s v="travel"/>
    <s v="West"/>
    <n v="2E-3"/>
    <n v="2497"/>
    <s v="Normal Merchant Day"/>
  </r>
  <r>
    <s v="TXN100121"/>
    <n v="150"/>
    <x v="11"/>
    <d v="2026-01-21T04:31:00"/>
    <n v="2999"/>
    <s v="UPI"/>
    <x v="0"/>
    <n v="90"/>
    <s v="Merchant_033"/>
    <s v="bill_payment"/>
    <s v="East"/>
    <n v="2E-3"/>
    <n v="3298"/>
    <s v="Normal Merchant Day"/>
  </r>
  <r>
    <s v="TXN100122"/>
    <n v="248"/>
    <x v="20"/>
    <d v="2026-01-09T13:53:00"/>
    <n v="1499"/>
    <s v="UPI"/>
    <x v="1"/>
    <n v="31"/>
    <s v="Merchant_031"/>
    <s v="bill_payment"/>
    <s v="East"/>
    <n v="2E-3"/>
    <n v="1499"/>
    <s v="Normal Merchant Day"/>
  </r>
  <r>
    <s v="TXN100123"/>
    <n v="197"/>
    <x v="6"/>
    <d v="2026-01-15T17:09:00"/>
    <n v="49"/>
    <s v="UPI"/>
    <x v="0"/>
    <n v="76"/>
    <s v="Merchant_013"/>
    <s v="travel"/>
    <s v="East"/>
    <n v="2E-3"/>
    <n v="49"/>
    <s v="Normal Merchant Day"/>
  </r>
  <r>
    <s v="TXN100124"/>
    <n v="70"/>
    <x v="32"/>
    <d v="2026-01-17T23:56:00"/>
    <n v="499"/>
    <s v="UPI"/>
    <x v="0"/>
    <n v="35"/>
    <s v="Merchant_005"/>
    <s v="recharge"/>
    <s v="South"/>
    <n v="2E-3"/>
    <n v="499"/>
    <s v="Normal Merchant Day"/>
  </r>
  <r>
    <s v="TXN100125"/>
    <n v="260"/>
    <x v="7"/>
    <d v="2026-01-25T13:21:00"/>
    <n v="1499"/>
    <s v="UPI"/>
    <x v="0"/>
    <n v="0"/>
    <s v="Merchant_018"/>
    <s v="grocery"/>
    <s v="West"/>
    <n v="2E-3"/>
    <n v="1648"/>
    <s v="Normal Merchant Day"/>
  </r>
  <r>
    <s v="TXN100126"/>
    <n v="301"/>
    <x v="35"/>
    <d v="2026-01-10T23:19:00"/>
    <n v="99"/>
    <s v="UPI"/>
    <x v="0"/>
    <n v="84"/>
    <s v="Merchant_038"/>
    <s v="grocery"/>
    <s v="East"/>
    <n v="2E-3"/>
    <n v="398"/>
    <s v="Normal Merchant Day"/>
  </r>
  <r>
    <s v="TXN100127"/>
    <n v="276"/>
    <x v="20"/>
    <d v="2026-01-16T04:28:00"/>
    <n v="499"/>
    <s v="Card"/>
    <x v="0"/>
    <n v="44"/>
    <s v="Merchant_031"/>
    <s v="bill_payment"/>
    <s v="East"/>
    <n v="1.4999999999999999E-2"/>
    <n v="499"/>
    <s v="Normal Merchant Day"/>
  </r>
  <r>
    <s v="TXN100128"/>
    <n v="279"/>
    <x v="14"/>
    <d v="2026-01-11T17:48:00"/>
    <n v="799"/>
    <s v="UPI"/>
    <x v="0"/>
    <n v="58"/>
    <s v="Merchant_025"/>
    <s v="travel"/>
    <s v="South"/>
    <n v="2E-3"/>
    <n v="799"/>
    <s v="Normal Merchant Day"/>
  </r>
  <r>
    <s v="TXN100129"/>
    <n v="97"/>
    <x v="0"/>
    <d v="2026-01-30T10:55:00"/>
    <n v="799"/>
    <s v="Card"/>
    <x v="0"/>
    <n v="73"/>
    <s v="Merchant_016"/>
    <s v="bill_payment"/>
    <s v="West"/>
    <n v="1.4999999999999999E-2"/>
    <n v="898"/>
    <s v="Normal Merchant Day"/>
  </r>
  <r>
    <s v="TXN100130"/>
    <n v="211"/>
    <x v="4"/>
    <d v="2026-01-13T07:54:00"/>
    <n v="149"/>
    <s v="UPI"/>
    <x v="2"/>
    <n v="40"/>
    <s v="Merchant_003"/>
    <s v="grocery"/>
    <s v="East"/>
    <n v="2E-3"/>
    <n v="198"/>
    <s v="Normal Merchant Day"/>
  </r>
  <r>
    <s v="TXN100131"/>
    <n v="196"/>
    <x v="14"/>
    <d v="2026-01-24T15:45:00"/>
    <n v="149"/>
    <s v="Netbanking"/>
    <x v="0"/>
    <n v="84"/>
    <s v="Merchant_025"/>
    <s v="travel"/>
    <s v="South"/>
    <n v="0.01"/>
    <n v="497"/>
    <s v="Normal Merchant Day"/>
  </r>
  <r>
    <s v="TXN100132"/>
    <n v="254"/>
    <x v="4"/>
    <d v="2026-01-26T20:09:00"/>
    <n v="149"/>
    <s v="Card"/>
    <x v="0"/>
    <n v="16"/>
    <s v="Merchant_003"/>
    <s v="grocery"/>
    <s v="East"/>
    <n v="1.4999999999999999E-2"/>
    <n v="149"/>
    <s v="Normal Merchant Day"/>
  </r>
  <r>
    <s v="TXN100133"/>
    <n v="52"/>
    <x v="26"/>
    <d v="2026-01-17T18:21:00"/>
    <n v="49"/>
    <s v="Netbanking"/>
    <x v="0"/>
    <n v="12"/>
    <s v="Merchant_029"/>
    <s v="ecommerce"/>
    <s v="North"/>
    <n v="0.01"/>
    <n v="49"/>
    <s v="Normal Merchant Day"/>
  </r>
  <r>
    <s v="TXN100134"/>
    <n v="74"/>
    <x v="1"/>
    <d v="2026-01-17T14:00:00"/>
    <n v="799"/>
    <s v="UPI"/>
    <x v="0"/>
    <n v="83"/>
    <s v="Merchant_027"/>
    <s v="ecommerce"/>
    <s v="North"/>
    <n v="2E-3"/>
    <n v="1597"/>
    <s v="Normal Merchant Day"/>
  </r>
  <r>
    <s v="TXN100135"/>
    <n v="136"/>
    <x v="3"/>
    <d v="2026-01-05T02:30:00"/>
    <n v="149"/>
    <s v="UPI"/>
    <x v="0"/>
    <n v="79"/>
    <s v="Merchant_022"/>
    <s v="travel"/>
    <s v="South"/>
    <n v="2E-3"/>
    <n v="448"/>
    <s v="Normal Merchant Day"/>
  </r>
  <r>
    <s v="TXN100136"/>
    <n v="42"/>
    <x v="3"/>
    <d v="2026-01-23T12:41:00"/>
    <n v="49"/>
    <s v="UPI"/>
    <x v="0"/>
    <n v="86"/>
    <s v="Merchant_022"/>
    <s v="travel"/>
    <s v="South"/>
    <n v="2E-3"/>
    <n v="49"/>
    <s v="Normal Merchant Day"/>
  </r>
  <r>
    <s v="TXN100137"/>
    <n v="163"/>
    <x v="33"/>
    <d v="2026-01-28T17:24:00"/>
    <n v="2999"/>
    <s v="Wallet"/>
    <x v="1"/>
    <n v="69"/>
    <s v="Merchant_032"/>
    <s v="food_delivery"/>
    <s v="West"/>
    <n v="6.4999999999999997E-3"/>
    <n v="2999"/>
    <s v="Normal Merchant Day"/>
  </r>
  <r>
    <s v="TXN100138"/>
    <n v="121"/>
    <x v="13"/>
    <d v="2026-01-02T19:04:00"/>
    <n v="149"/>
    <s v="UPI"/>
    <x v="0"/>
    <n v="29"/>
    <s v="Merchant_019"/>
    <s v="grocery"/>
    <s v="North"/>
    <n v="2E-3"/>
    <n v="149"/>
    <s v="Normal Merchant Day"/>
  </r>
  <r>
    <s v="TXN100139"/>
    <n v="51"/>
    <x v="23"/>
    <d v="2026-01-24T02:27:00"/>
    <n v="499"/>
    <s v="Card"/>
    <x v="0"/>
    <n v="56"/>
    <s v="Merchant_007"/>
    <s v="food_delivery"/>
    <s v="East"/>
    <n v="1.4999999999999999E-2"/>
    <n v="1298"/>
    <s v="Normal Merchant Day"/>
  </r>
  <r>
    <s v="TXN100140"/>
    <n v="15"/>
    <x v="4"/>
    <d v="2026-01-06T22:19:00"/>
    <n v="799"/>
    <s v="UPI"/>
    <x v="0"/>
    <n v="41"/>
    <s v="Merchant_003"/>
    <s v="grocery"/>
    <s v="East"/>
    <n v="2E-3"/>
    <n v="898"/>
    <s v="Normal Merchant Day"/>
  </r>
  <r>
    <s v="TXN100141"/>
    <n v="184"/>
    <x v="31"/>
    <d v="2026-01-26T01:18:00"/>
    <n v="49"/>
    <s v="UPI"/>
    <x v="0"/>
    <n v="55"/>
    <s v="Merchant_024"/>
    <s v="grocery"/>
    <s v="North"/>
    <n v="2E-3"/>
    <n v="348"/>
    <s v="Normal Merchant Day"/>
  </r>
  <r>
    <s v="TXN100142"/>
    <n v="211"/>
    <x v="21"/>
    <d v="2026-01-05T07:33:00"/>
    <n v="1499"/>
    <s v="UPI"/>
    <x v="0"/>
    <n v="87"/>
    <s v="Merchant_037"/>
    <s v="entertainment"/>
    <s v="South"/>
    <n v="2E-3"/>
    <n v="1499"/>
    <s v="Normal Merchant Day"/>
  </r>
  <r>
    <s v="TXN100143"/>
    <n v="90"/>
    <x v="18"/>
    <d v="2026-01-26T05:10:00"/>
    <n v="49"/>
    <s v="Card"/>
    <x v="0"/>
    <n v="78"/>
    <s v="Merchant_006"/>
    <s v="food_delivery"/>
    <s v="South"/>
    <n v="1.4999999999999999E-2"/>
    <n v="897"/>
    <s v="Normal Merchant Day"/>
  </r>
  <r>
    <s v="TXN100144"/>
    <n v="350"/>
    <x v="0"/>
    <d v="2026-01-28T12:39:00"/>
    <n v="49"/>
    <s v="UPI"/>
    <x v="0"/>
    <n v="63"/>
    <s v="Merchant_016"/>
    <s v="bill_payment"/>
    <s v="West"/>
    <n v="2E-3"/>
    <n v="49"/>
    <s v="Normal Merchant Day"/>
  </r>
  <r>
    <s v="TXN100145"/>
    <n v="119"/>
    <x v="24"/>
    <d v="2026-01-30T18:09:00"/>
    <n v="49"/>
    <s v="Card"/>
    <x v="0"/>
    <n v="81"/>
    <s v="Merchant_030"/>
    <s v="travel"/>
    <s v="West"/>
    <n v="1.4999999999999999E-2"/>
    <n v="49"/>
    <s v="Normal Merchant Day"/>
  </r>
  <r>
    <s v="TXN100146"/>
    <n v="342"/>
    <x v="37"/>
    <d v="2026-01-09T14:16:00"/>
    <n v="49"/>
    <s v="UPI"/>
    <x v="0"/>
    <n v="59"/>
    <s v="Merchant_001"/>
    <s v="ecommerce"/>
    <s v="South"/>
    <n v="2E-3"/>
    <n v="5048"/>
    <s v="High-Value Merchant Day"/>
  </r>
  <r>
    <s v="TXN100147"/>
    <n v="280"/>
    <x v="2"/>
    <d v="2026-01-29T09:43:00"/>
    <n v="149"/>
    <s v="UPI"/>
    <x v="2"/>
    <n v="9"/>
    <s v="Merchant_011"/>
    <s v="ecommerce"/>
    <s v="North"/>
    <n v="2E-3"/>
    <n v="149"/>
    <s v="Normal Merchant Day"/>
  </r>
  <r>
    <s v="TXN100148"/>
    <n v="154"/>
    <x v="10"/>
    <d v="2026-01-15T11:37:00"/>
    <n v="2999"/>
    <s v="Netbanking"/>
    <x v="0"/>
    <n v="88"/>
    <s v="Merchant_028"/>
    <s v="ecommerce"/>
    <s v="South"/>
    <n v="0.01"/>
    <n v="2999"/>
    <s v="Normal Merchant Day"/>
  </r>
  <r>
    <s v="TXN100149"/>
    <n v="155"/>
    <x v="6"/>
    <d v="2026-01-09T14:54:00"/>
    <n v="149"/>
    <s v="UPI"/>
    <x v="0"/>
    <n v="49"/>
    <s v="Merchant_013"/>
    <s v="travel"/>
    <s v="East"/>
    <n v="2E-3"/>
    <n v="198"/>
    <s v="Normal Merchant Day"/>
  </r>
  <r>
    <s v="TXN100150"/>
    <n v="122"/>
    <x v="14"/>
    <d v="2026-01-28T15:06:00"/>
    <n v="299"/>
    <s v="UPI"/>
    <x v="0"/>
    <n v="73"/>
    <s v="Merchant_025"/>
    <s v="travel"/>
    <s v="South"/>
    <n v="2E-3"/>
    <n v="299"/>
    <s v="Normal Merchant Day"/>
  </r>
  <r>
    <s v="TXN100151"/>
    <n v="152"/>
    <x v="27"/>
    <d v="2026-01-12T18:18:00"/>
    <n v="49"/>
    <s v="UPI"/>
    <x v="0"/>
    <n v="84"/>
    <s v="Merchant_002"/>
    <s v="grocery"/>
    <s v="West"/>
    <n v="2E-3"/>
    <n v="348"/>
    <s v="Normal Merchant Day"/>
  </r>
  <r>
    <s v="TXN100152"/>
    <n v="290"/>
    <x v="29"/>
    <d v="2026-01-13T08:00:00"/>
    <n v="149"/>
    <s v="UPI"/>
    <x v="0"/>
    <n v="77"/>
    <s v="Merchant_004"/>
    <s v="ecommerce"/>
    <s v="East"/>
    <n v="2E-3"/>
    <n v="948"/>
    <s v="Normal Merchant Day"/>
  </r>
  <r>
    <s v="TXN100153"/>
    <n v="147"/>
    <x v="19"/>
    <d v="2026-01-24T15:53:00"/>
    <n v="49"/>
    <s v="Wallet"/>
    <x v="0"/>
    <n v="77"/>
    <s v="Merchant_015"/>
    <s v="travel"/>
    <s v="North"/>
    <n v="6.4999999999999997E-3"/>
    <n v="148"/>
    <s v="Normal Merchant Day"/>
  </r>
  <r>
    <s v="TXN100154"/>
    <n v="326"/>
    <x v="6"/>
    <d v="2026-01-26T11:14:00"/>
    <n v="299"/>
    <s v="Netbanking"/>
    <x v="0"/>
    <n v="79"/>
    <s v="Merchant_013"/>
    <s v="travel"/>
    <s v="East"/>
    <n v="0.01"/>
    <n v="299"/>
    <s v="Normal Merchant Day"/>
  </r>
  <r>
    <s v="TXN100155"/>
    <n v="338"/>
    <x v="39"/>
    <d v="2026-01-09T21:48:00"/>
    <n v="99"/>
    <s v="Card"/>
    <x v="0"/>
    <n v="80"/>
    <s v="Merchant_009"/>
    <s v="ecommerce"/>
    <s v="North"/>
    <n v="1.4999999999999999E-2"/>
    <n v="99"/>
    <s v="Normal Merchant Day"/>
  </r>
  <r>
    <s v="TXN100156"/>
    <n v="21"/>
    <x v="15"/>
    <d v="2026-01-04T20:41:00"/>
    <n v="2999"/>
    <s v="UPI"/>
    <x v="0"/>
    <n v="100"/>
    <s v="Merchant_020"/>
    <s v="food_delivery"/>
    <s v="East"/>
    <n v="2E-3"/>
    <n v="2999"/>
    <s v="Normal Merchant Day"/>
  </r>
  <r>
    <s v="TXN100157"/>
    <n v="187"/>
    <x v="39"/>
    <d v="2026-01-15T01:37:00"/>
    <n v="49"/>
    <s v="Card"/>
    <x v="1"/>
    <n v="11"/>
    <s v="Merchant_009"/>
    <s v="ecommerce"/>
    <s v="North"/>
    <n v="1.4999999999999999E-2"/>
    <n v="148"/>
    <s v="Normal Merchant Day"/>
  </r>
  <r>
    <s v="TXN100158"/>
    <n v="213"/>
    <x v="9"/>
    <d v="2026-01-30T09:20:00"/>
    <n v="4999"/>
    <s v="UPI"/>
    <x v="0"/>
    <n v="25"/>
    <s v="Merchant_012"/>
    <s v="ecommerce"/>
    <s v="East"/>
    <n v="2E-3"/>
    <n v="4999"/>
    <s v="Normal Merchant Day"/>
  </r>
  <r>
    <s v="TXN100159"/>
    <n v="188"/>
    <x v="36"/>
    <d v="2026-01-05T17:56:00"/>
    <n v="2999"/>
    <s v="UPI"/>
    <x v="0"/>
    <n v="64"/>
    <s v="Merchant_034"/>
    <s v="travel"/>
    <s v="South"/>
    <n v="2E-3"/>
    <n v="2999"/>
    <s v="Normal Merchant Day"/>
  </r>
  <r>
    <s v="TXN100160"/>
    <n v="85"/>
    <x v="28"/>
    <d v="2026-01-30T08:53:00"/>
    <n v="499"/>
    <s v="UPI"/>
    <x v="0"/>
    <n v="61"/>
    <s v="Merchant_017"/>
    <s v="grocery"/>
    <s v="North"/>
    <n v="2E-3"/>
    <n v="499"/>
    <s v="Normal Merchant Day"/>
  </r>
  <r>
    <s v="TXN100161"/>
    <n v="174"/>
    <x v="30"/>
    <d v="2026-01-26T09:47:00"/>
    <n v="299"/>
    <s v="Netbanking"/>
    <x v="0"/>
    <n v="59"/>
    <s v="Merchant_008"/>
    <s v="food_delivery"/>
    <s v="North"/>
    <n v="0.01"/>
    <n v="598"/>
    <s v="Normal Merchant Day"/>
  </r>
  <r>
    <s v="TXN100162"/>
    <n v="116"/>
    <x v="22"/>
    <d v="2026-01-03T04:48:00"/>
    <n v="99"/>
    <s v="Netbanking"/>
    <x v="0"/>
    <n v="71"/>
    <s v="Merchant_026"/>
    <s v="food_delivery"/>
    <s v="East"/>
    <n v="0.01"/>
    <n v="99"/>
    <s v="Normal Merchant Day"/>
  </r>
  <r>
    <s v="TXN100163"/>
    <n v="203"/>
    <x v="37"/>
    <d v="2026-01-12T02:50:00"/>
    <n v="149"/>
    <s v="Wallet"/>
    <x v="0"/>
    <n v="33"/>
    <s v="Merchant_001"/>
    <s v="ecommerce"/>
    <s v="South"/>
    <n v="6.4999999999999997E-3"/>
    <n v="149"/>
    <s v="Normal Merchant Day"/>
  </r>
  <r>
    <s v="TXN100164"/>
    <n v="189"/>
    <x v="28"/>
    <d v="2026-01-18T03:29:00"/>
    <n v="99"/>
    <s v="UPI"/>
    <x v="0"/>
    <n v="74"/>
    <s v="Merchant_017"/>
    <s v="grocery"/>
    <s v="North"/>
    <n v="2E-3"/>
    <n v="198"/>
    <s v="Normal Merchant Day"/>
  </r>
  <r>
    <s v="TXN100165"/>
    <n v="56"/>
    <x v="19"/>
    <d v="2026-01-13T20:23:00"/>
    <n v="299"/>
    <s v="UPI"/>
    <x v="0"/>
    <n v="60"/>
    <s v="Merchant_015"/>
    <s v="travel"/>
    <s v="North"/>
    <n v="2E-3"/>
    <n v="299"/>
    <s v="Normal Merchant Day"/>
  </r>
  <r>
    <s v="TXN100166"/>
    <n v="288"/>
    <x v="17"/>
    <d v="2026-01-01T19:56:00"/>
    <n v="4999"/>
    <s v="Wallet"/>
    <x v="1"/>
    <n v="78"/>
    <s v="Merchant_021"/>
    <s v="food_delivery"/>
    <s v="East"/>
    <n v="6.4999999999999997E-3"/>
    <n v="5298"/>
    <s v="Normal Merchant Day"/>
  </r>
  <r>
    <s v="TXN100167"/>
    <n v="326"/>
    <x v="24"/>
    <d v="2026-01-08T20:04:00"/>
    <n v="99"/>
    <s v="Card"/>
    <x v="0"/>
    <n v="89"/>
    <s v="Merchant_030"/>
    <s v="travel"/>
    <s v="West"/>
    <n v="1.4999999999999999E-2"/>
    <n v="1197"/>
    <s v="Normal Merchant Day"/>
  </r>
  <r>
    <s v="TXN100168"/>
    <n v="60"/>
    <x v="39"/>
    <d v="2026-01-10T20:26:00"/>
    <n v="49"/>
    <s v="Netbanking"/>
    <x v="0"/>
    <n v="5"/>
    <s v="Merchant_009"/>
    <s v="ecommerce"/>
    <s v="North"/>
    <n v="0.01"/>
    <n v="49"/>
    <s v="Normal Merchant Day"/>
  </r>
  <r>
    <s v="TXN100169"/>
    <n v="60"/>
    <x v="23"/>
    <d v="2026-01-02T09:31:00"/>
    <n v="2999"/>
    <s v="Wallet"/>
    <x v="0"/>
    <n v="30"/>
    <s v="Merchant_007"/>
    <s v="food_delivery"/>
    <s v="East"/>
    <n v="6.4999999999999997E-3"/>
    <n v="3797"/>
    <s v="Normal Merchant Day"/>
  </r>
  <r>
    <s v="TXN100170"/>
    <n v="199"/>
    <x v="24"/>
    <d v="2026-01-29T17:08:00"/>
    <n v="149"/>
    <s v="Netbanking"/>
    <x v="0"/>
    <n v="47"/>
    <s v="Merchant_030"/>
    <s v="travel"/>
    <s v="West"/>
    <n v="0.01"/>
    <n v="149"/>
    <s v="Normal Merchant Day"/>
  </r>
  <r>
    <s v="TXN100171"/>
    <n v="277"/>
    <x v="1"/>
    <d v="2026-01-22T23:44:00"/>
    <n v="49"/>
    <s v="UPI"/>
    <x v="0"/>
    <n v="75"/>
    <s v="Merchant_027"/>
    <s v="ecommerce"/>
    <s v="North"/>
    <n v="2E-3"/>
    <n v="49"/>
    <s v="Normal Merchant Day"/>
  </r>
  <r>
    <s v="TXN100172"/>
    <n v="213"/>
    <x v="23"/>
    <d v="2026-01-24T23:09:00"/>
    <n v="799"/>
    <s v="Netbanking"/>
    <x v="0"/>
    <n v="62"/>
    <s v="Merchant_007"/>
    <s v="food_delivery"/>
    <s v="East"/>
    <n v="0.01"/>
    <n v="1298"/>
    <s v="Normal Merchant Day"/>
  </r>
  <r>
    <s v="TXN100173"/>
    <n v="17"/>
    <x v="31"/>
    <d v="2026-01-20T13:17:00"/>
    <n v="299"/>
    <s v="UPI"/>
    <x v="0"/>
    <n v="27"/>
    <s v="Merchant_024"/>
    <s v="grocery"/>
    <s v="North"/>
    <n v="2E-3"/>
    <n v="299"/>
    <s v="Normal Merchant Day"/>
  </r>
  <r>
    <s v="TXN100174"/>
    <n v="186"/>
    <x v="23"/>
    <d v="2026-01-15T14:15:00"/>
    <n v="1499"/>
    <s v="Card"/>
    <x v="1"/>
    <n v="87"/>
    <s v="Merchant_007"/>
    <s v="food_delivery"/>
    <s v="East"/>
    <n v="1.4999999999999999E-2"/>
    <n v="1648"/>
    <s v="Normal Merchant Day"/>
  </r>
  <r>
    <s v="TXN100175"/>
    <n v="331"/>
    <x v="5"/>
    <d v="2026-01-12T17:57:00"/>
    <n v="149"/>
    <s v="UPI"/>
    <x v="0"/>
    <n v="7"/>
    <s v="Merchant_023"/>
    <s v="travel"/>
    <s v="North"/>
    <n v="2E-3"/>
    <n v="149"/>
    <s v="Normal Merchant Day"/>
  </r>
  <r>
    <s v="TXN100176"/>
    <n v="63"/>
    <x v="24"/>
    <d v="2026-01-13T08:12:00"/>
    <n v="1499"/>
    <s v="Card"/>
    <x v="0"/>
    <n v="11"/>
    <s v="Merchant_030"/>
    <s v="travel"/>
    <s v="West"/>
    <n v="1.4999999999999999E-2"/>
    <n v="1499"/>
    <s v="Normal Merchant Day"/>
  </r>
  <r>
    <s v="TXN100177"/>
    <n v="328"/>
    <x v="38"/>
    <d v="2026-01-22T06:41:00"/>
    <n v="4999"/>
    <s v="Wallet"/>
    <x v="2"/>
    <n v="2"/>
    <s v="Merchant_039"/>
    <s v="entertainment"/>
    <s v="North"/>
    <n v="6.4999999999999997E-3"/>
    <n v="9796"/>
    <s v="High-Value Merchant Day"/>
  </r>
  <r>
    <s v="TXN100178"/>
    <n v="65"/>
    <x v="21"/>
    <d v="2026-01-02T10:15:00"/>
    <n v="2999"/>
    <s v="Card"/>
    <x v="0"/>
    <n v="26"/>
    <s v="Merchant_037"/>
    <s v="entertainment"/>
    <s v="South"/>
    <n v="1.4999999999999999E-2"/>
    <n v="2999"/>
    <s v="Normal Merchant Day"/>
  </r>
  <r>
    <s v="TXN100179"/>
    <n v="301"/>
    <x v="16"/>
    <d v="2026-01-03T17:13:00"/>
    <n v="149"/>
    <s v="UPI"/>
    <x v="0"/>
    <n v="29"/>
    <s v="Merchant_014"/>
    <s v="grocery"/>
    <s v="East"/>
    <n v="2E-3"/>
    <n v="149"/>
    <s v="Normal Merchant Day"/>
  </r>
  <r>
    <s v="TXN100180"/>
    <n v="306"/>
    <x v="37"/>
    <d v="2026-01-11T04:50:00"/>
    <n v="299"/>
    <s v="UPI"/>
    <x v="1"/>
    <n v="35"/>
    <s v="Merchant_001"/>
    <s v="ecommerce"/>
    <s v="South"/>
    <n v="2E-3"/>
    <n v="299"/>
    <s v="Normal Merchant Day"/>
  </r>
  <r>
    <s v="TXN100181"/>
    <n v="277"/>
    <x v="28"/>
    <d v="2026-01-28T04:08:00"/>
    <n v="299"/>
    <s v="UPI"/>
    <x v="0"/>
    <n v="22"/>
    <s v="Merchant_017"/>
    <s v="grocery"/>
    <s v="North"/>
    <n v="2E-3"/>
    <n v="299"/>
    <s v="Normal Merchant Day"/>
  </r>
  <r>
    <s v="TXN100182"/>
    <n v="14"/>
    <x v="39"/>
    <d v="2026-01-04T21:55:00"/>
    <n v="499"/>
    <s v="UPI"/>
    <x v="0"/>
    <n v="1"/>
    <s v="Merchant_009"/>
    <s v="ecommerce"/>
    <s v="North"/>
    <n v="2E-3"/>
    <n v="499"/>
    <s v="Normal Merchant Day"/>
  </r>
  <r>
    <s v="TXN100183"/>
    <n v="166"/>
    <x v="27"/>
    <d v="2026-01-12T07:37:00"/>
    <n v="299"/>
    <s v="Card"/>
    <x v="0"/>
    <n v="22"/>
    <s v="Merchant_002"/>
    <s v="grocery"/>
    <s v="West"/>
    <n v="1.4999999999999999E-2"/>
    <n v="348"/>
    <s v="Normal Merchant Day"/>
  </r>
  <r>
    <s v="TXN100184"/>
    <n v="216"/>
    <x v="36"/>
    <d v="2026-01-09T01:08:00"/>
    <n v="299"/>
    <s v="Card"/>
    <x v="0"/>
    <n v="14"/>
    <s v="Merchant_034"/>
    <s v="travel"/>
    <s v="South"/>
    <n v="1.4999999999999999E-2"/>
    <n v="299"/>
    <s v="Normal Merchant Day"/>
  </r>
  <r>
    <s v="TXN100185"/>
    <n v="230"/>
    <x v="31"/>
    <d v="2026-01-24T02:30:00"/>
    <n v="49"/>
    <s v="UPI"/>
    <x v="0"/>
    <n v="65"/>
    <s v="Merchant_024"/>
    <s v="grocery"/>
    <s v="North"/>
    <n v="2E-3"/>
    <n v="148"/>
    <s v="Normal Merchant Day"/>
  </r>
  <r>
    <s v="TXN100186"/>
    <n v="258"/>
    <x v="19"/>
    <d v="2026-01-19T03:28:00"/>
    <n v="499"/>
    <s v="Wallet"/>
    <x v="0"/>
    <n v="78"/>
    <s v="Merchant_015"/>
    <s v="travel"/>
    <s v="North"/>
    <n v="6.4999999999999997E-3"/>
    <n v="499"/>
    <s v="Normal Merchant Day"/>
  </r>
  <r>
    <s v="TXN100187"/>
    <n v="338"/>
    <x v="36"/>
    <d v="2026-01-02T23:50:00"/>
    <n v="49"/>
    <s v="UPI"/>
    <x v="0"/>
    <n v="38"/>
    <s v="Merchant_034"/>
    <s v="travel"/>
    <s v="South"/>
    <n v="2E-3"/>
    <n v="548"/>
    <s v="Normal Merchant Day"/>
  </r>
  <r>
    <s v="TXN100188"/>
    <n v="32"/>
    <x v="20"/>
    <d v="2026-01-15T20:01:00"/>
    <n v="299"/>
    <s v="UPI"/>
    <x v="0"/>
    <n v="51"/>
    <s v="Merchant_031"/>
    <s v="bill_payment"/>
    <s v="East"/>
    <n v="2E-3"/>
    <n v="299"/>
    <s v="Normal Merchant Day"/>
  </r>
  <r>
    <s v="TXN100189"/>
    <n v="252"/>
    <x v="26"/>
    <d v="2026-01-14T21:06:00"/>
    <n v="1499"/>
    <s v="UPI"/>
    <x v="0"/>
    <n v="9"/>
    <s v="Merchant_029"/>
    <s v="ecommerce"/>
    <s v="North"/>
    <n v="2E-3"/>
    <n v="1998"/>
    <s v="Normal Merchant Day"/>
  </r>
  <r>
    <s v="TXN100190"/>
    <n v="312"/>
    <x v="34"/>
    <d v="2026-01-29T02:20:00"/>
    <n v="799"/>
    <s v="UPI"/>
    <x v="0"/>
    <n v="8"/>
    <s v="Merchant_010"/>
    <s v="grocery"/>
    <s v="West"/>
    <n v="2E-3"/>
    <n v="799"/>
    <s v="Normal Merchant Day"/>
  </r>
  <r>
    <s v="TXN100191"/>
    <n v="325"/>
    <x v="35"/>
    <d v="2026-01-05T08:39:00"/>
    <n v="1499"/>
    <s v="Netbanking"/>
    <x v="0"/>
    <n v="70"/>
    <s v="Merchant_038"/>
    <s v="grocery"/>
    <s v="East"/>
    <n v="0.01"/>
    <n v="1499"/>
    <s v="Normal Merchant Day"/>
  </r>
  <r>
    <s v="TXN100192"/>
    <n v="306"/>
    <x v="36"/>
    <d v="2026-01-23T10:24:00"/>
    <n v="2999"/>
    <s v="UPI"/>
    <x v="0"/>
    <n v="37"/>
    <s v="Merchant_034"/>
    <s v="travel"/>
    <s v="South"/>
    <n v="2E-3"/>
    <n v="3148"/>
    <s v="Normal Merchant Day"/>
  </r>
  <r>
    <s v="TXN100193"/>
    <n v="221"/>
    <x v="23"/>
    <d v="2026-01-15T16:38:00"/>
    <n v="149"/>
    <s v="Netbanking"/>
    <x v="0"/>
    <n v="89"/>
    <s v="Merchant_007"/>
    <s v="food_delivery"/>
    <s v="East"/>
    <n v="0.01"/>
    <n v="1648"/>
    <s v="Normal Merchant Day"/>
  </r>
  <r>
    <s v="TXN100194"/>
    <n v="283"/>
    <x v="16"/>
    <d v="2026-01-04T20:41:00"/>
    <n v="99"/>
    <s v="Wallet"/>
    <x v="0"/>
    <n v="55"/>
    <s v="Merchant_014"/>
    <s v="grocery"/>
    <s v="East"/>
    <n v="6.4999999999999997E-3"/>
    <n v="99"/>
    <s v="Normal Merchant Day"/>
  </r>
  <r>
    <s v="TXN100195"/>
    <n v="174"/>
    <x v="24"/>
    <d v="2026-01-15T07:26:00"/>
    <n v="49"/>
    <s v="UPI"/>
    <x v="0"/>
    <n v="51"/>
    <s v="Merchant_030"/>
    <s v="travel"/>
    <s v="West"/>
    <n v="2E-3"/>
    <n v="49"/>
    <s v="Normal Merchant Day"/>
  </r>
  <r>
    <s v="TXN100196"/>
    <n v="161"/>
    <x v="10"/>
    <d v="2026-01-14T23:06:00"/>
    <n v="49"/>
    <s v="UPI"/>
    <x v="0"/>
    <n v="40"/>
    <s v="Merchant_028"/>
    <s v="ecommerce"/>
    <s v="South"/>
    <n v="2E-3"/>
    <n v="49"/>
    <s v="Normal Merchant Day"/>
  </r>
  <r>
    <s v="TXN100197"/>
    <n v="79"/>
    <x v="20"/>
    <d v="2026-01-22T08:23:00"/>
    <n v="99"/>
    <s v="UPI"/>
    <x v="0"/>
    <n v="8"/>
    <s v="Merchant_031"/>
    <s v="bill_payment"/>
    <s v="East"/>
    <n v="2E-3"/>
    <n v="99"/>
    <s v="Normal Merchant Day"/>
  </r>
  <r>
    <s v="TXN100198"/>
    <n v="222"/>
    <x v="23"/>
    <d v="2026-01-03T02:05:00"/>
    <n v="149"/>
    <s v="Wallet"/>
    <x v="0"/>
    <n v="95"/>
    <s v="Merchant_007"/>
    <s v="food_delivery"/>
    <s v="East"/>
    <n v="6.4999999999999997E-3"/>
    <n v="149"/>
    <s v="Normal Merchant Day"/>
  </r>
  <r>
    <s v="TXN100199"/>
    <n v="67"/>
    <x v="25"/>
    <d v="2026-01-24T11:51:00"/>
    <n v="99"/>
    <s v="UPI"/>
    <x v="0"/>
    <n v="7"/>
    <s v="Merchant_036"/>
    <s v="entertainment"/>
    <s v="East"/>
    <n v="2E-3"/>
    <n v="1647"/>
    <s v="Normal Merchant Day"/>
  </r>
  <r>
    <s v="TXN100200"/>
    <n v="169"/>
    <x v="30"/>
    <d v="2026-01-19T17:35:00"/>
    <n v="99"/>
    <s v="UPI"/>
    <x v="0"/>
    <n v="52"/>
    <s v="Merchant_008"/>
    <s v="food_delivery"/>
    <s v="North"/>
    <n v="2E-3"/>
    <n v="99"/>
    <s v="Normal Merchant Day"/>
  </r>
  <r>
    <s v="TXN100201"/>
    <n v="217"/>
    <x v="29"/>
    <d v="2026-01-12T21:48:00"/>
    <n v="49"/>
    <s v="UPI"/>
    <x v="0"/>
    <n v="36"/>
    <s v="Merchant_004"/>
    <s v="ecommerce"/>
    <s v="East"/>
    <n v="2E-3"/>
    <n v="49"/>
    <s v="Normal Merchant Day"/>
  </r>
  <r>
    <s v="TXN100202"/>
    <n v="54"/>
    <x v="21"/>
    <d v="2026-01-20T09:22:00"/>
    <n v="149"/>
    <s v="UPI"/>
    <x v="0"/>
    <n v="64"/>
    <s v="Merchant_037"/>
    <s v="entertainment"/>
    <s v="South"/>
    <n v="2E-3"/>
    <n v="149"/>
    <s v="Normal Merchant Day"/>
  </r>
  <r>
    <s v="TXN100203"/>
    <n v="247"/>
    <x v="19"/>
    <d v="2026-01-07T04:42:00"/>
    <n v="49"/>
    <s v="Card"/>
    <x v="0"/>
    <n v="13"/>
    <s v="Merchant_015"/>
    <s v="travel"/>
    <s v="North"/>
    <n v="1.4999999999999999E-2"/>
    <n v="49"/>
    <s v="Normal Merchant Day"/>
  </r>
  <r>
    <s v="TXN100204"/>
    <n v="59"/>
    <x v="7"/>
    <d v="2026-01-12T17:23:00"/>
    <n v="49"/>
    <s v="Card"/>
    <x v="0"/>
    <n v="73"/>
    <s v="Merchant_018"/>
    <s v="grocery"/>
    <s v="West"/>
    <n v="1.4999999999999999E-2"/>
    <n v="49"/>
    <s v="Normal Merchant Day"/>
  </r>
  <r>
    <s v="TXN100205"/>
    <n v="288"/>
    <x v="12"/>
    <d v="2026-01-08T13:54:00"/>
    <n v="49"/>
    <s v="UPI"/>
    <x v="1"/>
    <n v="78"/>
    <s v="Merchant_040"/>
    <s v="entertainment"/>
    <s v="South"/>
    <n v="2E-3"/>
    <n v="49"/>
    <s v="Normal Merchant Day"/>
  </r>
  <r>
    <s v="TXN100206"/>
    <n v="14"/>
    <x v="38"/>
    <d v="2026-01-22T20:35:00"/>
    <n v="799"/>
    <s v="UPI"/>
    <x v="0"/>
    <n v="84"/>
    <s v="Merchant_039"/>
    <s v="entertainment"/>
    <s v="North"/>
    <n v="2E-3"/>
    <n v="9796"/>
    <s v="High-Value Merchant Day"/>
  </r>
  <r>
    <s v="TXN100207"/>
    <n v="15"/>
    <x v="9"/>
    <d v="2026-01-27T22:17:00"/>
    <n v="149"/>
    <s v="UPI"/>
    <x v="0"/>
    <n v="34"/>
    <s v="Merchant_012"/>
    <s v="ecommerce"/>
    <s v="East"/>
    <n v="2E-3"/>
    <n v="149"/>
    <s v="Normal Merchant Day"/>
  </r>
  <r>
    <s v="TXN100208"/>
    <n v="174"/>
    <x v="5"/>
    <d v="2026-01-23T09:58:00"/>
    <n v="149"/>
    <s v="UPI"/>
    <x v="0"/>
    <n v="0"/>
    <s v="Merchant_023"/>
    <s v="travel"/>
    <s v="North"/>
    <n v="2E-3"/>
    <n v="247"/>
    <s v="Normal Merchant Day"/>
  </r>
  <r>
    <s v="TXN100209"/>
    <n v="337"/>
    <x v="22"/>
    <d v="2026-01-06T04:36:00"/>
    <n v="49"/>
    <s v="UPI"/>
    <x v="0"/>
    <n v="8"/>
    <s v="Merchant_026"/>
    <s v="food_delivery"/>
    <s v="East"/>
    <n v="2E-3"/>
    <n v="49"/>
    <s v="Normal Merchant Day"/>
  </r>
  <r>
    <s v="TXN100210"/>
    <n v="16"/>
    <x v="18"/>
    <d v="2026-01-05T23:40:00"/>
    <n v="1499"/>
    <s v="UPI"/>
    <x v="0"/>
    <n v="95"/>
    <s v="Merchant_006"/>
    <s v="food_delivery"/>
    <s v="South"/>
    <n v="2E-3"/>
    <n v="1499"/>
    <s v="Normal Merchant Day"/>
  </r>
  <r>
    <s v="TXN100211"/>
    <n v="215"/>
    <x v="24"/>
    <d v="2026-01-17T06:24:00"/>
    <n v="49"/>
    <s v="UPI"/>
    <x v="0"/>
    <n v="43"/>
    <s v="Merchant_030"/>
    <s v="travel"/>
    <s v="West"/>
    <n v="2E-3"/>
    <n v="49"/>
    <s v="Normal Merchant Day"/>
  </r>
  <r>
    <s v="TXN100212"/>
    <n v="167"/>
    <x v="21"/>
    <d v="2026-01-06T11:19:00"/>
    <n v="99"/>
    <s v="UPI"/>
    <x v="0"/>
    <n v="76"/>
    <s v="Merchant_037"/>
    <s v="entertainment"/>
    <s v="South"/>
    <n v="2E-3"/>
    <n v="99"/>
    <s v="Normal Merchant Day"/>
  </r>
  <r>
    <s v="TXN100213"/>
    <n v="81"/>
    <x v="12"/>
    <d v="2026-01-03T01:09:00"/>
    <n v="49"/>
    <s v="UPI"/>
    <x v="0"/>
    <n v="6"/>
    <s v="Merchant_040"/>
    <s v="entertainment"/>
    <s v="South"/>
    <n v="2E-3"/>
    <n v="49"/>
    <s v="Normal Merchant Day"/>
  </r>
  <r>
    <s v="TXN100214"/>
    <n v="227"/>
    <x v="10"/>
    <d v="2026-01-22T02:17:00"/>
    <n v="99"/>
    <s v="UPI"/>
    <x v="0"/>
    <n v="62"/>
    <s v="Merchant_028"/>
    <s v="ecommerce"/>
    <s v="South"/>
    <n v="2E-3"/>
    <n v="99"/>
    <s v="Normal Merchant Day"/>
  </r>
  <r>
    <s v="TXN100215"/>
    <n v="140"/>
    <x v="16"/>
    <d v="2026-01-20T14:26:00"/>
    <n v="299"/>
    <s v="Wallet"/>
    <x v="0"/>
    <n v="96"/>
    <s v="Merchant_014"/>
    <s v="grocery"/>
    <s v="East"/>
    <n v="6.4999999999999997E-3"/>
    <n v="299"/>
    <s v="Normal Merchant Day"/>
  </r>
  <r>
    <s v="TXN100216"/>
    <n v="221"/>
    <x v="30"/>
    <d v="2026-01-17T03:22:00"/>
    <n v="299"/>
    <s v="UPI"/>
    <x v="0"/>
    <n v="36"/>
    <s v="Merchant_008"/>
    <s v="food_delivery"/>
    <s v="North"/>
    <n v="2E-3"/>
    <n v="348"/>
    <s v="Normal Merchant Day"/>
  </r>
  <r>
    <s v="TXN100217"/>
    <n v="250"/>
    <x v="36"/>
    <d v="2026-01-22T21:37:00"/>
    <n v="299"/>
    <s v="Wallet"/>
    <x v="0"/>
    <n v="85"/>
    <s v="Merchant_034"/>
    <s v="travel"/>
    <s v="South"/>
    <n v="6.4999999999999997E-3"/>
    <n v="299"/>
    <s v="Normal Merchant Day"/>
  </r>
  <r>
    <s v="TXN100218"/>
    <n v="203"/>
    <x v="38"/>
    <d v="2026-01-10T01:14:00"/>
    <n v="49"/>
    <s v="UPI"/>
    <x v="0"/>
    <n v="7"/>
    <s v="Merchant_039"/>
    <s v="entertainment"/>
    <s v="North"/>
    <n v="2E-3"/>
    <n v="49"/>
    <s v="Normal Merchant Day"/>
  </r>
  <r>
    <s v="TXN100219"/>
    <n v="109"/>
    <x v="39"/>
    <d v="2026-01-01T06:19:00"/>
    <n v="499"/>
    <s v="Wallet"/>
    <x v="0"/>
    <n v="97"/>
    <s v="Merchant_009"/>
    <s v="ecommerce"/>
    <s v="North"/>
    <n v="6.4999999999999997E-3"/>
    <n v="499"/>
    <s v="Normal Merchant Day"/>
  </r>
  <r>
    <s v="TXN100220"/>
    <n v="62"/>
    <x v="37"/>
    <d v="2026-01-09T09:20:00"/>
    <n v="4999"/>
    <s v="Wallet"/>
    <x v="0"/>
    <n v="63"/>
    <s v="Merchant_001"/>
    <s v="ecommerce"/>
    <s v="South"/>
    <n v="6.4999999999999997E-3"/>
    <n v="5048"/>
    <s v="High-Value Merchant Day"/>
  </r>
  <r>
    <s v="TXN100221"/>
    <n v="67"/>
    <x v="14"/>
    <d v="2026-01-24T13:11:00"/>
    <n v="49"/>
    <s v="UPI"/>
    <x v="0"/>
    <n v="68"/>
    <s v="Merchant_025"/>
    <s v="travel"/>
    <s v="South"/>
    <n v="2E-3"/>
    <n v="497"/>
    <s v="Normal Merchant Day"/>
  </r>
  <r>
    <s v="TXN100222"/>
    <n v="287"/>
    <x v="5"/>
    <d v="2026-01-23T07:32:00"/>
    <n v="49"/>
    <s v="UPI"/>
    <x v="0"/>
    <n v="9"/>
    <s v="Merchant_023"/>
    <s v="travel"/>
    <s v="North"/>
    <n v="2E-3"/>
    <n v="247"/>
    <s v="Normal Merchant Day"/>
  </r>
  <r>
    <s v="TXN100223"/>
    <n v="224"/>
    <x v="27"/>
    <d v="2026-01-13T23:02:00"/>
    <n v="49"/>
    <s v="Card"/>
    <x v="0"/>
    <n v="58"/>
    <s v="Merchant_002"/>
    <s v="grocery"/>
    <s v="West"/>
    <n v="1.4999999999999999E-2"/>
    <n v="49"/>
    <s v="Normal Merchant Day"/>
  </r>
  <r>
    <s v="TXN100224"/>
    <n v="161"/>
    <x v="21"/>
    <d v="2026-01-30T02:55:00"/>
    <n v="299"/>
    <s v="UPI"/>
    <x v="0"/>
    <n v="54"/>
    <s v="Merchant_037"/>
    <s v="entertainment"/>
    <s v="South"/>
    <n v="2E-3"/>
    <n v="299"/>
    <s v="Normal Merchant Day"/>
  </r>
  <r>
    <s v="TXN100225"/>
    <n v="328"/>
    <x v="1"/>
    <d v="2026-01-19T12:45:00"/>
    <n v="49"/>
    <s v="UPI"/>
    <x v="2"/>
    <n v="37"/>
    <s v="Merchant_027"/>
    <s v="ecommerce"/>
    <s v="North"/>
    <n v="2E-3"/>
    <n v="49"/>
    <s v="Normal Merchant Day"/>
  </r>
  <r>
    <s v="TXN100226"/>
    <n v="167"/>
    <x v="2"/>
    <d v="2026-01-04T12:01:00"/>
    <n v="1499"/>
    <s v="Card"/>
    <x v="1"/>
    <n v="79"/>
    <s v="Merchant_011"/>
    <s v="ecommerce"/>
    <s v="North"/>
    <n v="1.4999999999999999E-2"/>
    <n v="1499"/>
    <s v="Normal Merchant Day"/>
  </r>
  <r>
    <s v="TXN100227"/>
    <n v="186"/>
    <x v="18"/>
    <d v="2026-01-15T22:58:00"/>
    <n v="49"/>
    <s v="Wallet"/>
    <x v="0"/>
    <n v="55"/>
    <s v="Merchant_006"/>
    <s v="food_delivery"/>
    <s v="South"/>
    <n v="6.4999999999999997E-3"/>
    <n v="49"/>
    <s v="Normal Merchant Day"/>
  </r>
  <r>
    <s v="TXN100228"/>
    <n v="224"/>
    <x v="35"/>
    <d v="2026-01-28T03:15:00"/>
    <n v="299"/>
    <s v="Wallet"/>
    <x v="1"/>
    <n v="51"/>
    <s v="Merchant_038"/>
    <s v="grocery"/>
    <s v="East"/>
    <n v="6.4999999999999997E-3"/>
    <n v="299"/>
    <s v="Normal Merchant Day"/>
  </r>
  <r>
    <s v="TXN100229"/>
    <n v="159"/>
    <x v="3"/>
    <d v="2026-01-17T02:25:00"/>
    <n v="799"/>
    <s v="UPI"/>
    <x v="0"/>
    <n v="28"/>
    <s v="Merchant_022"/>
    <s v="travel"/>
    <s v="South"/>
    <n v="2E-3"/>
    <n v="1598"/>
    <s v="Normal Merchant Day"/>
  </r>
  <r>
    <s v="TXN100230"/>
    <n v="262"/>
    <x v="30"/>
    <d v="2026-01-11T05:04:00"/>
    <n v="149"/>
    <s v="UPI"/>
    <x v="0"/>
    <n v="67"/>
    <s v="Merchant_008"/>
    <s v="food_delivery"/>
    <s v="North"/>
    <n v="2E-3"/>
    <n v="149"/>
    <s v="Normal Merchant Day"/>
  </r>
  <r>
    <s v="TXN100231"/>
    <n v="179"/>
    <x v="5"/>
    <d v="2026-01-17T06:57:00"/>
    <n v="49"/>
    <s v="Wallet"/>
    <x v="0"/>
    <n v="93"/>
    <s v="Merchant_023"/>
    <s v="travel"/>
    <s v="North"/>
    <n v="6.4999999999999997E-3"/>
    <n v="49"/>
    <s v="Normal Merchant Day"/>
  </r>
  <r>
    <s v="TXN100232"/>
    <n v="76"/>
    <x v="0"/>
    <d v="2026-01-27T20:52:00"/>
    <n v="299"/>
    <s v="UPI"/>
    <x v="0"/>
    <n v="13"/>
    <s v="Merchant_016"/>
    <s v="bill_payment"/>
    <s v="West"/>
    <n v="2E-3"/>
    <n v="348"/>
    <s v="Normal Merchant Day"/>
  </r>
  <r>
    <s v="TXN100233"/>
    <n v="89"/>
    <x v="38"/>
    <d v="2026-01-05T08:12:00"/>
    <n v="299"/>
    <s v="UPI"/>
    <x v="0"/>
    <n v="19"/>
    <s v="Merchant_039"/>
    <s v="entertainment"/>
    <s v="North"/>
    <n v="2E-3"/>
    <n v="299"/>
    <s v="Normal Merchant Day"/>
  </r>
  <r>
    <s v="TXN100234"/>
    <n v="91"/>
    <x v="33"/>
    <d v="2026-01-25T20:04:00"/>
    <n v="49"/>
    <s v="UPI"/>
    <x v="0"/>
    <n v="59"/>
    <s v="Merchant_032"/>
    <s v="food_delivery"/>
    <s v="West"/>
    <n v="2E-3"/>
    <n v="49"/>
    <s v="Normal Merchant Day"/>
  </r>
  <r>
    <s v="TXN100235"/>
    <n v="297"/>
    <x v="26"/>
    <d v="2026-01-25T18:48:00"/>
    <n v="99"/>
    <s v="Card"/>
    <x v="2"/>
    <n v="87"/>
    <s v="Merchant_029"/>
    <s v="ecommerce"/>
    <s v="North"/>
    <n v="1.4999999999999999E-2"/>
    <n v="3896"/>
    <s v="Normal Merchant Day"/>
  </r>
  <r>
    <s v="TXN100236"/>
    <n v="326"/>
    <x v="12"/>
    <d v="2026-01-30T18:41:00"/>
    <n v="499"/>
    <s v="Card"/>
    <x v="0"/>
    <n v="41"/>
    <s v="Merchant_040"/>
    <s v="entertainment"/>
    <s v="South"/>
    <n v="1.4999999999999999E-2"/>
    <n v="499"/>
    <s v="Normal Merchant Day"/>
  </r>
  <r>
    <s v="TXN100237"/>
    <n v="78"/>
    <x v="26"/>
    <d v="2026-01-28T20:20:00"/>
    <n v="149"/>
    <s v="UPI"/>
    <x v="0"/>
    <n v="8"/>
    <s v="Merchant_029"/>
    <s v="ecommerce"/>
    <s v="North"/>
    <n v="2E-3"/>
    <n v="149"/>
    <s v="Normal Merchant Day"/>
  </r>
  <r>
    <s v="TXN100238"/>
    <n v="156"/>
    <x v="7"/>
    <d v="2026-01-16T14:40:00"/>
    <n v="2999"/>
    <s v="Card"/>
    <x v="0"/>
    <n v="75"/>
    <s v="Merchant_018"/>
    <s v="grocery"/>
    <s v="West"/>
    <n v="1.4999999999999999E-2"/>
    <n v="3148"/>
    <s v="Normal Merchant Day"/>
  </r>
  <r>
    <s v="TXN100239"/>
    <n v="38"/>
    <x v="15"/>
    <d v="2026-01-02T11:32:00"/>
    <n v="49"/>
    <s v="Wallet"/>
    <x v="1"/>
    <n v="59"/>
    <s v="Merchant_020"/>
    <s v="food_delivery"/>
    <s v="East"/>
    <n v="6.4999999999999997E-3"/>
    <n v="49"/>
    <s v="Normal Merchant Day"/>
  </r>
  <r>
    <s v="TXN100240"/>
    <n v="189"/>
    <x v="13"/>
    <d v="2026-01-15T01:03:00"/>
    <n v="99"/>
    <s v="UPI"/>
    <x v="1"/>
    <n v="9"/>
    <s v="Merchant_019"/>
    <s v="grocery"/>
    <s v="North"/>
    <n v="2E-3"/>
    <n v="398"/>
    <s v="Normal Merchant Day"/>
  </r>
  <r>
    <s v="TXN100241"/>
    <n v="305"/>
    <x v="11"/>
    <d v="2026-01-21T02:39:00"/>
    <n v="299"/>
    <s v="Card"/>
    <x v="0"/>
    <n v="49"/>
    <s v="Merchant_033"/>
    <s v="bill_payment"/>
    <s v="East"/>
    <n v="1.4999999999999999E-2"/>
    <n v="3298"/>
    <s v="Normal Merchant Day"/>
  </r>
  <r>
    <s v="TXN100242"/>
    <n v="22"/>
    <x v="26"/>
    <d v="2026-01-15T18:35:00"/>
    <n v="799"/>
    <s v="UPI"/>
    <x v="0"/>
    <n v="73"/>
    <s v="Merchant_029"/>
    <s v="ecommerce"/>
    <s v="North"/>
    <n v="2E-3"/>
    <n v="1098"/>
    <s v="Normal Merchant Day"/>
  </r>
  <r>
    <s v="TXN100243"/>
    <n v="310"/>
    <x v="20"/>
    <d v="2026-01-21T06:20:00"/>
    <n v="49"/>
    <s v="Card"/>
    <x v="0"/>
    <n v="64"/>
    <s v="Merchant_031"/>
    <s v="bill_payment"/>
    <s v="East"/>
    <n v="1.4999999999999999E-2"/>
    <n v="49"/>
    <s v="Normal Merchant Day"/>
  </r>
  <r>
    <s v="TXN100244"/>
    <n v="53"/>
    <x v="3"/>
    <d v="2026-01-05T01:28:00"/>
    <n v="299"/>
    <s v="UPI"/>
    <x v="0"/>
    <n v="91"/>
    <s v="Merchant_022"/>
    <s v="travel"/>
    <s v="South"/>
    <n v="2E-3"/>
    <n v="448"/>
    <s v="Normal Merchant Day"/>
  </r>
  <r>
    <s v="TXN100245"/>
    <n v="89"/>
    <x v="4"/>
    <d v="2026-01-03T16:41:00"/>
    <n v="149"/>
    <s v="Card"/>
    <x v="0"/>
    <n v="31"/>
    <s v="Merchant_003"/>
    <s v="grocery"/>
    <s v="East"/>
    <n v="1.4999999999999999E-2"/>
    <n v="198"/>
    <s v="Normal Merchant Day"/>
  </r>
  <r>
    <s v="TXN100246"/>
    <n v="269"/>
    <x v="36"/>
    <d v="2026-01-23T14:28:00"/>
    <n v="149"/>
    <s v="UPI"/>
    <x v="0"/>
    <n v="78"/>
    <s v="Merchant_034"/>
    <s v="travel"/>
    <s v="South"/>
    <n v="2E-3"/>
    <n v="3148"/>
    <s v="Normal Merchant Day"/>
  </r>
  <r>
    <s v="TXN100247"/>
    <n v="145"/>
    <x v="14"/>
    <d v="2026-01-06T11:23:00"/>
    <n v="799"/>
    <s v="UPI"/>
    <x v="0"/>
    <n v="52"/>
    <s v="Merchant_025"/>
    <s v="travel"/>
    <s v="South"/>
    <n v="2E-3"/>
    <n v="898"/>
    <s v="Normal Merchant Day"/>
  </r>
  <r>
    <s v="TXN100248"/>
    <n v="307"/>
    <x v="29"/>
    <d v="2026-01-25T10:43:00"/>
    <n v="1499"/>
    <s v="UPI"/>
    <x v="0"/>
    <n v="80"/>
    <s v="Merchant_004"/>
    <s v="ecommerce"/>
    <s v="East"/>
    <n v="2E-3"/>
    <n v="1998"/>
    <s v="Normal Merchant Day"/>
  </r>
  <r>
    <s v="TXN100249"/>
    <n v="169"/>
    <x v="23"/>
    <d v="2026-01-21T10:04:00"/>
    <n v="1499"/>
    <s v="Wallet"/>
    <x v="0"/>
    <n v="71"/>
    <s v="Merchant_007"/>
    <s v="food_delivery"/>
    <s v="East"/>
    <n v="6.4999999999999997E-3"/>
    <n v="1499"/>
    <s v="Normal Merchant Day"/>
  </r>
  <r>
    <s v="TXN100250"/>
    <n v="130"/>
    <x v="38"/>
    <d v="2026-01-22T12:18:00"/>
    <n v="2999"/>
    <s v="Wallet"/>
    <x v="0"/>
    <n v="19"/>
    <s v="Merchant_039"/>
    <s v="entertainment"/>
    <s v="North"/>
    <n v="6.4999999999999997E-3"/>
    <n v="9796"/>
    <s v="High-Value Merchant Day"/>
  </r>
  <r>
    <s v="TXN100251"/>
    <n v="340"/>
    <x v="34"/>
    <d v="2026-01-11T02:37:00"/>
    <n v="49"/>
    <s v="Card"/>
    <x v="0"/>
    <n v="44"/>
    <s v="Merchant_010"/>
    <s v="grocery"/>
    <s v="West"/>
    <n v="1.4999999999999999E-2"/>
    <n v="98"/>
    <s v="Normal Merchant Day"/>
  </r>
  <r>
    <s v="TXN100252"/>
    <n v="340"/>
    <x v="22"/>
    <d v="2026-01-10T20:44:00"/>
    <n v="299"/>
    <s v="Card"/>
    <x v="0"/>
    <n v="16"/>
    <s v="Merchant_026"/>
    <s v="food_delivery"/>
    <s v="East"/>
    <n v="1.4999999999999999E-2"/>
    <n v="299"/>
    <s v="Normal Merchant Day"/>
  </r>
  <r>
    <s v="TXN100253"/>
    <n v="159"/>
    <x v="25"/>
    <d v="2026-01-20T22:05:00"/>
    <n v="49"/>
    <s v="UPI"/>
    <x v="0"/>
    <n v="48"/>
    <s v="Merchant_036"/>
    <s v="entertainment"/>
    <s v="East"/>
    <n v="2E-3"/>
    <n v="49"/>
    <s v="Normal Merchant Day"/>
  </r>
  <r>
    <s v="TXN100254"/>
    <n v="66"/>
    <x v="36"/>
    <d v="2026-01-21T10:52:00"/>
    <n v="799"/>
    <s v="UPI"/>
    <x v="0"/>
    <n v="11"/>
    <s v="Merchant_034"/>
    <s v="travel"/>
    <s v="South"/>
    <n v="2E-3"/>
    <n v="799"/>
    <s v="Normal Merchant Day"/>
  </r>
  <r>
    <s v="TXN100255"/>
    <n v="261"/>
    <x v="31"/>
    <d v="2026-01-21T21:27:00"/>
    <n v="799"/>
    <s v="Card"/>
    <x v="0"/>
    <n v="2"/>
    <s v="Merchant_024"/>
    <s v="grocery"/>
    <s v="North"/>
    <n v="1.4999999999999999E-2"/>
    <n v="799"/>
    <s v="Normal Merchant Day"/>
  </r>
  <r>
    <s v="TXN100256"/>
    <n v="110"/>
    <x v="3"/>
    <d v="2026-01-12T09:11:00"/>
    <n v="799"/>
    <s v="UPI"/>
    <x v="0"/>
    <n v="98"/>
    <s v="Merchant_022"/>
    <s v="travel"/>
    <s v="South"/>
    <n v="2E-3"/>
    <n v="1697"/>
    <s v="Normal Merchant Day"/>
  </r>
  <r>
    <s v="TXN100257"/>
    <n v="71"/>
    <x v="34"/>
    <d v="2026-01-16T06:14:00"/>
    <n v="49"/>
    <s v="UPI"/>
    <x v="0"/>
    <n v="9"/>
    <s v="Merchant_010"/>
    <s v="grocery"/>
    <s v="West"/>
    <n v="2E-3"/>
    <n v="49"/>
    <s v="Normal Merchant Day"/>
  </r>
  <r>
    <s v="TXN100258"/>
    <n v="277"/>
    <x v="36"/>
    <d v="2026-01-10T03:32:00"/>
    <n v="49"/>
    <s v="UPI"/>
    <x v="0"/>
    <n v="4"/>
    <s v="Merchant_034"/>
    <s v="travel"/>
    <s v="South"/>
    <n v="2E-3"/>
    <n v="49"/>
    <s v="Normal Merchant Day"/>
  </r>
  <r>
    <s v="TXN100259"/>
    <n v="317"/>
    <x v="39"/>
    <d v="2026-01-22T10:56:00"/>
    <n v="499"/>
    <s v="Wallet"/>
    <x v="0"/>
    <n v="76"/>
    <s v="Merchant_009"/>
    <s v="ecommerce"/>
    <s v="North"/>
    <n v="6.4999999999999997E-3"/>
    <n v="1298"/>
    <s v="Normal Merchant Day"/>
  </r>
  <r>
    <s v="TXN100260"/>
    <n v="93"/>
    <x v="12"/>
    <d v="2026-01-13T04:10:00"/>
    <n v="299"/>
    <s v="UPI"/>
    <x v="0"/>
    <n v="21"/>
    <s v="Merchant_040"/>
    <s v="entertainment"/>
    <s v="South"/>
    <n v="2E-3"/>
    <n v="299"/>
    <s v="Normal Merchant Day"/>
  </r>
  <r>
    <s v="TXN100261"/>
    <n v="211"/>
    <x v="31"/>
    <d v="2026-01-24T14:02:00"/>
    <n v="99"/>
    <s v="Netbanking"/>
    <x v="0"/>
    <n v="86"/>
    <s v="Merchant_024"/>
    <s v="grocery"/>
    <s v="North"/>
    <n v="0.01"/>
    <n v="148"/>
    <s v="Normal Merchant Day"/>
  </r>
  <r>
    <s v="TXN100262"/>
    <n v="313"/>
    <x v="13"/>
    <d v="2026-01-24T07:28:00"/>
    <n v="149"/>
    <s v="UPI"/>
    <x v="0"/>
    <n v="96"/>
    <s v="Merchant_019"/>
    <s v="grocery"/>
    <s v="North"/>
    <n v="2E-3"/>
    <n v="149"/>
    <s v="Normal Merchant Day"/>
  </r>
  <r>
    <s v="TXN100263"/>
    <n v="274"/>
    <x v="0"/>
    <d v="2026-01-24T14:14:00"/>
    <n v="49"/>
    <s v="Wallet"/>
    <x v="1"/>
    <n v="39"/>
    <s v="Merchant_016"/>
    <s v="bill_payment"/>
    <s v="West"/>
    <n v="6.4999999999999997E-3"/>
    <n v="1548"/>
    <s v="Normal Merchant Day"/>
  </r>
  <r>
    <s v="TXN100264"/>
    <n v="100"/>
    <x v="31"/>
    <d v="2026-01-26T15:57:00"/>
    <n v="299"/>
    <s v="UPI"/>
    <x v="0"/>
    <n v="86"/>
    <s v="Merchant_024"/>
    <s v="grocery"/>
    <s v="North"/>
    <n v="2E-3"/>
    <n v="348"/>
    <s v="Normal Merchant Day"/>
  </r>
  <r>
    <s v="TXN100265"/>
    <n v="145"/>
    <x v="14"/>
    <d v="2026-01-19T14:29:00"/>
    <n v="2999"/>
    <s v="Wallet"/>
    <x v="0"/>
    <n v="64"/>
    <s v="Merchant_025"/>
    <s v="travel"/>
    <s v="South"/>
    <n v="6.4999999999999997E-3"/>
    <n v="4498"/>
    <s v="Normal Merchant Day"/>
  </r>
  <r>
    <s v="TXN100266"/>
    <n v="103"/>
    <x v="38"/>
    <d v="2026-01-17T13:10:00"/>
    <n v="2999"/>
    <s v="Wallet"/>
    <x v="0"/>
    <n v="17"/>
    <s v="Merchant_039"/>
    <s v="entertainment"/>
    <s v="North"/>
    <n v="6.4999999999999997E-3"/>
    <n v="2999"/>
    <s v="Normal Merchant Day"/>
  </r>
  <r>
    <s v="TXN100267"/>
    <n v="329"/>
    <x v="20"/>
    <d v="2026-01-28T08:03:00"/>
    <n v="299"/>
    <s v="Wallet"/>
    <x v="0"/>
    <n v="47"/>
    <s v="Merchant_031"/>
    <s v="bill_payment"/>
    <s v="East"/>
    <n v="6.4999999999999997E-3"/>
    <n v="299"/>
    <s v="Normal Merchant Day"/>
  </r>
  <r>
    <s v="TXN100268"/>
    <n v="265"/>
    <x v="30"/>
    <d v="2026-01-18T03:45:00"/>
    <n v="499"/>
    <s v="Netbanking"/>
    <x v="0"/>
    <n v="36"/>
    <s v="Merchant_008"/>
    <s v="food_delivery"/>
    <s v="North"/>
    <n v="0.01"/>
    <n v="499"/>
    <s v="Normal Merchant Day"/>
  </r>
  <r>
    <s v="TXN100269"/>
    <n v="231"/>
    <x v="11"/>
    <d v="2026-01-03T05:17:00"/>
    <n v="149"/>
    <s v="UPI"/>
    <x v="1"/>
    <n v="18"/>
    <s v="Merchant_033"/>
    <s v="bill_payment"/>
    <s v="East"/>
    <n v="2E-3"/>
    <n v="149"/>
    <s v="Normal Merchant Day"/>
  </r>
  <r>
    <s v="TXN100270"/>
    <n v="114"/>
    <x v="26"/>
    <d v="2026-01-27T13:05:00"/>
    <n v="799"/>
    <s v="UPI"/>
    <x v="2"/>
    <n v="44"/>
    <s v="Merchant_029"/>
    <s v="ecommerce"/>
    <s v="North"/>
    <n v="2E-3"/>
    <n v="898"/>
    <s v="Normal Merchant Day"/>
  </r>
  <r>
    <s v="TXN100271"/>
    <n v="28"/>
    <x v="22"/>
    <d v="2026-01-30T00:26:00"/>
    <n v="1499"/>
    <s v="UPI"/>
    <x v="1"/>
    <n v="64"/>
    <s v="Merchant_026"/>
    <s v="food_delivery"/>
    <s v="East"/>
    <n v="2E-3"/>
    <n v="1499"/>
    <s v="Normal Merchant Day"/>
  </r>
  <r>
    <s v="TXN100272"/>
    <n v="42"/>
    <x v="31"/>
    <d v="2026-01-12T07:24:00"/>
    <n v="149"/>
    <s v="UPI"/>
    <x v="0"/>
    <n v="28"/>
    <s v="Merchant_024"/>
    <s v="grocery"/>
    <s v="North"/>
    <n v="2E-3"/>
    <n v="149"/>
    <s v="Normal Merchant Day"/>
  </r>
  <r>
    <s v="TXN100273"/>
    <n v="51"/>
    <x v="3"/>
    <d v="2026-01-01T10:59:00"/>
    <n v="799"/>
    <s v="UPI"/>
    <x v="0"/>
    <n v="18"/>
    <s v="Merchant_022"/>
    <s v="travel"/>
    <s v="South"/>
    <n v="2E-3"/>
    <n v="799"/>
    <s v="Normal Merchant Day"/>
  </r>
  <r>
    <s v="TXN100274"/>
    <n v="242"/>
    <x v="39"/>
    <d v="2026-01-05T01:18:00"/>
    <n v="149"/>
    <s v="UPI"/>
    <x v="0"/>
    <n v="97"/>
    <s v="Merchant_009"/>
    <s v="ecommerce"/>
    <s v="North"/>
    <n v="2E-3"/>
    <n v="149"/>
    <s v="Normal Merchant Day"/>
  </r>
  <r>
    <s v="TXN100275"/>
    <n v="316"/>
    <x v="37"/>
    <d v="2026-01-23T15:28:00"/>
    <n v="149"/>
    <s v="UPI"/>
    <x v="0"/>
    <n v="10"/>
    <s v="Merchant_001"/>
    <s v="ecommerce"/>
    <s v="South"/>
    <n v="2E-3"/>
    <n v="3148"/>
    <s v="Normal Merchant Day"/>
  </r>
  <r>
    <s v="TXN100276"/>
    <n v="77"/>
    <x v="25"/>
    <d v="2026-01-01T08:13:00"/>
    <n v="149"/>
    <s v="UPI"/>
    <x v="0"/>
    <n v="93"/>
    <s v="Merchant_036"/>
    <s v="entertainment"/>
    <s v="East"/>
    <n v="2E-3"/>
    <n v="149"/>
    <s v="Normal Merchant Day"/>
  </r>
  <r>
    <s v="TXN100277"/>
    <n v="57"/>
    <x v="13"/>
    <d v="2026-01-20T16:27:00"/>
    <n v="49"/>
    <s v="UPI"/>
    <x v="0"/>
    <n v="30"/>
    <s v="Merchant_019"/>
    <s v="grocery"/>
    <s v="North"/>
    <n v="2E-3"/>
    <n v="348"/>
    <s v="Normal Merchant Day"/>
  </r>
  <r>
    <s v="TXN100278"/>
    <n v="123"/>
    <x v="1"/>
    <d v="2026-01-10T03:03:00"/>
    <n v="149"/>
    <s v="Netbanking"/>
    <x v="0"/>
    <n v="81"/>
    <s v="Merchant_027"/>
    <s v="ecommerce"/>
    <s v="North"/>
    <n v="0.01"/>
    <n v="149"/>
    <s v="Normal Merchant Day"/>
  </r>
  <r>
    <s v="TXN100279"/>
    <n v="33"/>
    <x v="30"/>
    <d v="2026-01-26T19:29:00"/>
    <n v="299"/>
    <s v="Wallet"/>
    <x v="0"/>
    <n v="63"/>
    <s v="Merchant_008"/>
    <s v="food_delivery"/>
    <s v="North"/>
    <n v="6.4999999999999997E-3"/>
    <n v="598"/>
    <s v="Normal Merchant Day"/>
  </r>
  <r>
    <s v="TXN100280"/>
    <n v="324"/>
    <x v="11"/>
    <d v="2026-01-20T17:01:00"/>
    <n v="499"/>
    <s v="UPI"/>
    <x v="0"/>
    <n v="73"/>
    <s v="Merchant_033"/>
    <s v="bill_payment"/>
    <s v="East"/>
    <n v="2E-3"/>
    <n v="499"/>
    <s v="Normal Merchant Day"/>
  </r>
  <r>
    <s v="TXN100281"/>
    <n v="150"/>
    <x v="10"/>
    <d v="2026-01-08T22:09:00"/>
    <n v="49"/>
    <s v="UPI"/>
    <x v="1"/>
    <n v="0"/>
    <s v="Merchant_028"/>
    <s v="ecommerce"/>
    <s v="South"/>
    <n v="2E-3"/>
    <n v="49"/>
    <s v="Normal Merchant Day"/>
  </r>
  <r>
    <s v="TXN100282"/>
    <n v="293"/>
    <x v="1"/>
    <d v="2026-01-20T11:15:00"/>
    <n v="4999"/>
    <s v="UPI"/>
    <x v="0"/>
    <n v="23"/>
    <s v="Merchant_027"/>
    <s v="ecommerce"/>
    <s v="North"/>
    <n v="2E-3"/>
    <n v="4999"/>
    <s v="Normal Merchant Day"/>
  </r>
  <r>
    <s v="TXN100283"/>
    <n v="269"/>
    <x v="31"/>
    <d v="2026-01-22T21:05:00"/>
    <n v="49"/>
    <s v="Wallet"/>
    <x v="0"/>
    <n v="8"/>
    <s v="Merchant_024"/>
    <s v="grocery"/>
    <s v="North"/>
    <n v="6.4999999999999997E-3"/>
    <n v="49"/>
    <s v="Normal Merchant Day"/>
  </r>
  <r>
    <s v="TXN100284"/>
    <n v="260"/>
    <x v="25"/>
    <d v="2026-01-17T17:32:00"/>
    <n v="1499"/>
    <s v="UPI"/>
    <x v="0"/>
    <n v="2"/>
    <s v="Merchant_036"/>
    <s v="entertainment"/>
    <s v="East"/>
    <n v="2E-3"/>
    <n v="1499"/>
    <s v="Normal Merchant Day"/>
  </r>
  <r>
    <s v="TXN100285"/>
    <n v="326"/>
    <x v="14"/>
    <d v="2026-01-13T15:02:00"/>
    <n v="49"/>
    <s v="UPI"/>
    <x v="0"/>
    <n v="47"/>
    <s v="Merchant_025"/>
    <s v="travel"/>
    <s v="South"/>
    <n v="2E-3"/>
    <n v="49"/>
    <s v="Normal Merchant Day"/>
  </r>
  <r>
    <s v="TXN100286"/>
    <n v="183"/>
    <x v="32"/>
    <d v="2026-01-09T23:01:00"/>
    <n v="49"/>
    <s v="Card"/>
    <x v="0"/>
    <n v="44"/>
    <s v="Merchant_005"/>
    <s v="recharge"/>
    <s v="South"/>
    <n v="1.4999999999999999E-2"/>
    <n v="348"/>
    <s v="Normal Merchant Day"/>
  </r>
  <r>
    <s v="TXN100287"/>
    <n v="322"/>
    <x v="23"/>
    <d v="2026-01-08T23:42:00"/>
    <n v="299"/>
    <s v="UPI"/>
    <x v="0"/>
    <n v="98"/>
    <s v="Merchant_007"/>
    <s v="food_delivery"/>
    <s v="East"/>
    <n v="2E-3"/>
    <n v="299"/>
    <s v="Normal Merchant Day"/>
  </r>
  <r>
    <s v="TXN100288"/>
    <n v="171"/>
    <x v="39"/>
    <d v="2026-01-19T23:48:00"/>
    <n v="299"/>
    <s v="UPI"/>
    <x v="0"/>
    <n v="5"/>
    <s v="Merchant_009"/>
    <s v="ecommerce"/>
    <s v="North"/>
    <n v="2E-3"/>
    <n v="299"/>
    <s v="Normal Merchant Day"/>
  </r>
  <r>
    <s v="TXN100289"/>
    <n v="330"/>
    <x v="9"/>
    <d v="2026-01-12T17:21:00"/>
    <n v="1499"/>
    <s v="Netbanking"/>
    <x v="0"/>
    <n v="99"/>
    <s v="Merchant_012"/>
    <s v="ecommerce"/>
    <s v="East"/>
    <n v="0.01"/>
    <n v="1998"/>
    <s v="Normal Merchant Day"/>
  </r>
  <r>
    <s v="TXN100290"/>
    <n v="246"/>
    <x v="9"/>
    <d v="2026-01-22T14:44:00"/>
    <n v="99"/>
    <s v="Wallet"/>
    <x v="0"/>
    <n v="17"/>
    <s v="Merchant_012"/>
    <s v="ecommerce"/>
    <s v="East"/>
    <n v="6.4999999999999997E-3"/>
    <n v="99"/>
    <s v="Normal Merchant Day"/>
  </r>
  <r>
    <s v="TXN100291"/>
    <n v="235"/>
    <x v="4"/>
    <d v="2026-01-03T22:49:00"/>
    <n v="49"/>
    <s v="UPI"/>
    <x v="0"/>
    <n v="37"/>
    <s v="Merchant_003"/>
    <s v="grocery"/>
    <s v="East"/>
    <n v="2E-3"/>
    <n v="198"/>
    <s v="Normal Merchant Day"/>
  </r>
  <r>
    <s v="TXN100292"/>
    <n v="103"/>
    <x v="4"/>
    <d v="2026-01-07T01:50:00"/>
    <n v="499"/>
    <s v="UPI"/>
    <x v="0"/>
    <n v="40"/>
    <s v="Merchant_003"/>
    <s v="grocery"/>
    <s v="East"/>
    <n v="2E-3"/>
    <n v="798"/>
    <s v="Normal Merchant Day"/>
  </r>
  <r>
    <s v="TXN100293"/>
    <n v="204"/>
    <x v="8"/>
    <d v="2026-01-30T09:32:00"/>
    <n v="99"/>
    <s v="Wallet"/>
    <x v="0"/>
    <n v="60"/>
    <s v="Merchant_035"/>
    <s v="recharge"/>
    <s v="East"/>
    <n v="6.4999999999999997E-3"/>
    <n v="99"/>
    <s v="Normal Merchant Day"/>
  </r>
  <r>
    <s v="TXN100294"/>
    <n v="332"/>
    <x v="6"/>
    <d v="2026-01-09T01:48:00"/>
    <n v="49"/>
    <s v="Card"/>
    <x v="0"/>
    <n v="36"/>
    <s v="Merchant_013"/>
    <s v="travel"/>
    <s v="East"/>
    <n v="1.4999999999999999E-2"/>
    <n v="198"/>
    <s v="Normal Merchant Day"/>
  </r>
  <r>
    <s v="TXN100295"/>
    <n v="336"/>
    <x v="3"/>
    <d v="2026-01-12T01:55:00"/>
    <n v="499"/>
    <s v="UPI"/>
    <x v="0"/>
    <n v="34"/>
    <s v="Merchant_022"/>
    <s v="travel"/>
    <s v="South"/>
    <n v="2E-3"/>
    <n v="1697"/>
    <s v="Normal Merchant Day"/>
  </r>
  <r>
    <s v="TXN100296"/>
    <n v="205"/>
    <x v="26"/>
    <d v="2026-01-04T11:27:00"/>
    <n v="99"/>
    <s v="Wallet"/>
    <x v="0"/>
    <n v="49"/>
    <s v="Merchant_029"/>
    <s v="ecommerce"/>
    <s v="North"/>
    <n v="6.4999999999999997E-3"/>
    <n v="99"/>
    <s v="Normal Merchant Day"/>
  </r>
  <r>
    <s v="TXN100297"/>
    <n v="255"/>
    <x v="31"/>
    <d v="2026-01-11T05:31:00"/>
    <n v="799"/>
    <s v="UPI"/>
    <x v="0"/>
    <n v="66"/>
    <s v="Merchant_024"/>
    <s v="grocery"/>
    <s v="North"/>
    <n v="2E-3"/>
    <n v="799"/>
    <s v="Normal Merchant Day"/>
  </r>
  <r>
    <s v="TXN100298"/>
    <n v="218"/>
    <x v="18"/>
    <d v="2026-01-09T02:46:00"/>
    <n v="99"/>
    <s v="UPI"/>
    <x v="0"/>
    <n v="55"/>
    <s v="Merchant_006"/>
    <s v="food_delivery"/>
    <s v="South"/>
    <n v="2E-3"/>
    <n v="99"/>
    <s v="Normal Merchant Day"/>
  </r>
  <r>
    <s v="TXN100299"/>
    <n v="151"/>
    <x v="17"/>
    <d v="2026-01-20T05:34:00"/>
    <n v="49"/>
    <s v="UPI"/>
    <x v="0"/>
    <n v="13"/>
    <s v="Merchant_021"/>
    <s v="food_delivery"/>
    <s v="East"/>
    <n v="2E-3"/>
    <n v="49"/>
    <s v="Normal Merchant Day"/>
  </r>
  <r>
    <s v="TXN100300"/>
    <n v="152"/>
    <x v="15"/>
    <d v="2026-01-03T10:42:00"/>
    <n v="49"/>
    <s v="UPI"/>
    <x v="0"/>
    <n v="57"/>
    <s v="Merchant_020"/>
    <s v="food_delivery"/>
    <s v="East"/>
    <n v="2E-3"/>
    <n v="348"/>
    <s v="Normal Merchant Day"/>
  </r>
  <r>
    <s v="TXN100301"/>
    <n v="86"/>
    <x v="26"/>
    <d v="2026-01-20T22:27:00"/>
    <n v="149"/>
    <s v="Card"/>
    <x v="0"/>
    <n v="44"/>
    <s v="Merchant_029"/>
    <s v="ecommerce"/>
    <s v="North"/>
    <n v="1.4999999999999999E-2"/>
    <n v="149"/>
    <s v="Normal Merchant Day"/>
  </r>
  <r>
    <s v="TXN100302"/>
    <n v="181"/>
    <x v="12"/>
    <d v="2026-01-15T01:46:00"/>
    <n v="149"/>
    <s v="UPI"/>
    <x v="0"/>
    <n v="55"/>
    <s v="Merchant_040"/>
    <s v="entertainment"/>
    <s v="South"/>
    <n v="2E-3"/>
    <n v="149"/>
    <s v="Normal Merchant Day"/>
  </r>
  <r>
    <s v="TXN100303"/>
    <n v="30"/>
    <x v="32"/>
    <d v="2026-01-09T20:50:00"/>
    <n v="299"/>
    <s v="UPI"/>
    <x v="0"/>
    <n v="85"/>
    <s v="Merchant_005"/>
    <s v="recharge"/>
    <s v="South"/>
    <n v="2E-3"/>
    <n v="348"/>
    <s v="Normal Merchant Day"/>
  </r>
  <r>
    <s v="TXN100304"/>
    <n v="263"/>
    <x v="2"/>
    <d v="2026-01-21T12:23:00"/>
    <n v="149"/>
    <s v="Wallet"/>
    <x v="0"/>
    <n v="3"/>
    <s v="Merchant_011"/>
    <s v="ecommerce"/>
    <s v="North"/>
    <n v="6.4999999999999997E-3"/>
    <n v="149"/>
    <s v="Normal Merchant Day"/>
  </r>
  <r>
    <s v="TXN100305"/>
    <n v="225"/>
    <x v="4"/>
    <d v="2026-01-05T19:43:00"/>
    <n v="99"/>
    <s v="Netbanking"/>
    <x v="0"/>
    <n v="16"/>
    <s v="Merchant_003"/>
    <s v="grocery"/>
    <s v="East"/>
    <n v="0.01"/>
    <n v="99"/>
    <s v="Normal Merchant Day"/>
  </r>
  <r>
    <s v="TXN100306"/>
    <n v="331"/>
    <x v="31"/>
    <d v="2026-01-03T07:49:00"/>
    <n v="49"/>
    <s v="Card"/>
    <x v="0"/>
    <n v="46"/>
    <s v="Merchant_024"/>
    <s v="grocery"/>
    <s v="North"/>
    <n v="1.4999999999999999E-2"/>
    <n v="49"/>
    <s v="Normal Merchant Day"/>
  </r>
  <r>
    <s v="TXN100307"/>
    <n v="310"/>
    <x v="34"/>
    <d v="2026-01-13T18:02:00"/>
    <n v="1499"/>
    <s v="Card"/>
    <x v="0"/>
    <n v="86"/>
    <s v="Merchant_010"/>
    <s v="grocery"/>
    <s v="West"/>
    <n v="1.4999999999999999E-2"/>
    <n v="1499"/>
    <s v="Normal Merchant Day"/>
  </r>
  <r>
    <s v="TXN100308"/>
    <n v="228"/>
    <x v="32"/>
    <d v="2026-01-15T11:23:00"/>
    <n v="49"/>
    <s v="UPI"/>
    <x v="0"/>
    <n v="73"/>
    <s v="Merchant_005"/>
    <s v="recharge"/>
    <s v="South"/>
    <n v="2E-3"/>
    <n v="548"/>
    <s v="Normal Merchant Day"/>
  </r>
  <r>
    <s v="TXN100309"/>
    <n v="204"/>
    <x v="17"/>
    <d v="2026-01-05T16:23:00"/>
    <n v="499"/>
    <s v="UPI"/>
    <x v="0"/>
    <n v="83"/>
    <s v="Merchant_021"/>
    <s v="food_delivery"/>
    <s v="East"/>
    <n v="2E-3"/>
    <n v="499"/>
    <s v="Normal Merchant Day"/>
  </r>
  <r>
    <s v="TXN100310"/>
    <n v="14"/>
    <x v="9"/>
    <d v="2026-01-09T07:07:00"/>
    <n v="799"/>
    <s v="Netbanking"/>
    <x v="0"/>
    <n v="63"/>
    <s v="Merchant_012"/>
    <s v="ecommerce"/>
    <s v="East"/>
    <n v="0.01"/>
    <n v="799"/>
    <s v="Normal Merchant Day"/>
  </r>
  <r>
    <s v="TXN100311"/>
    <n v="288"/>
    <x v="30"/>
    <d v="2026-01-17T12:58:00"/>
    <n v="49"/>
    <s v="UPI"/>
    <x v="0"/>
    <n v="33"/>
    <s v="Merchant_008"/>
    <s v="food_delivery"/>
    <s v="North"/>
    <n v="2E-3"/>
    <n v="348"/>
    <s v="Normal Merchant Day"/>
  </r>
  <r>
    <s v="TXN100312"/>
    <n v="229"/>
    <x v="16"/>
    <d v="2026-01-25T08:45:00"/>
    <n v="1499"/>
    <s v="UPI"/>
    <x v="0"/>
    <n v="78"/>
    <s v="Merchant_014"/>
    <s v="grocery"/>
    <s v="East"/>
    <n v="2E-3"/>
    <n v="1598"/>
    <s v="Normal Merchant Day"/>
  </r>
  <r>
    <s v="TXN100313"/>
    <n v="252"/>
    <x v="6"/>
    <d v="2026-01-10T22:58:00"/>
    <n v="99"/>
    <s v="Wallet"/>
    <x v="0"/>
    <n v="15"/>
    <s v="Merchant_013"/>
    <s v="travel"/>
    <s v="East"/>
    <n v="6.4999999999999997E-3"/>
    <n v="99"/>
    <s v="Normal Merchant Day"/>
  </r>
  <r>
    <s v="TXN100314"/>
    <n v="89"/>
    <x v="26"/>
    <d v="2026-01-05T02:28:00"/>
    <n v="799"/>
    <s v="UPI"/>
    <x v="0"/>
    <n v="11"/>
    <s v="Merchant_029"/>
    <s v="ecommerce"/>
    <s v="North"/>
    <n v="2E-3"/>
    <n v="799"/>
    <s v="Normal Merchant Day"/>
  </r>
  <r>
    <s v="TXN100315"/>
    <n v="164"/>
    <x v="5"/>
    <d v="2026-01-26T21:54:00"/>
    <n v="49"/>
    <s v="Netbanking"/>
    <x v="0"/>
    <n v="90"/>
    <s v="Merchant_023"/>
    <s v="travel"/>
    <s v="North"/>
    <n v="0.01"/>
    <n v="49"/>
    <s v="Normal Merchant Day"/>
  </r>
  <r>
    <s v="TXN100316"/>
    <n v="149"/>
    <x v="15"/>
    <d v="2026-01-03T17:34:00"/>
    <n v="299"/>
    <s v="Wallet"/>
    <x v="0"/>
    <n v="20"/>
    <s v="Merchant_020"/>
    <s v="food_delivery"/>
    <s v="East"/>
    <n v="6.4999999999999997E-3"/>
    <n v="348"/>
    <s v="Normal Merchant Day"/>
  </r>
  <r>
    <s v="TXN100317"/>
    <n v="327"/>
    <x v="9"/>
    <d v="2026-01-23T22:59:00"/>
    <n v="49"/>
    <s v="Netbanking"/>
    <x v="0"/>
    <n v="46"/>
    <s v="Merchant_012"/>
    <s v="ecommerce"/>
    <s v="East"/>
    <n v="0.01"/>
    <n v="448"/>
    <s v="Normal Merchant Day"/>
  </r>
  <r>
    <s v="TXN100318"/>
    <n v="103"/>
    <x v="39"/>
    <d v="2026-01-17T07:07:00"/>
    <n v="149"/>
    <s v="UPI"/>
    <x v="0"/>
    <n v="30"/>
    <s v="Merchant_009"/>
    <s v="ecommerce"/>
    <s v="North"/>
    <n v="2E-3"/>
    <n v="248"/>
    <s v="Normal Merchant Day"/>
  </r>
  <r>
    <s v="TXN100319"/>
    <n v="185"/>
    <x v="25"/>
    <d v="2026-01-26T15:01:00"/>
    <n v="49"/>
    <s v="Wallet"/>
    <x v="0"/>
    <n v="73"/>
    <s v="Merchant_036"/>
    <s v="entertainment"/>
    <s v="East"/>
    <n v="6.4999999999999997E-3"/>
    <n v="198"/>
    <s v="Normal Merchant Day"/>
  </r>
  <r>
    <s v="TXN100320"/>
    <n v="283"/>
    <x v="39"/>
    <d v="2026-01-12T14:51:00"/>
    <n v="299"/>
    <s v="UPI"/>
    <x v="0"/>
    <n v="78"/>
    <s v="Merchant_009"/>
    <s v="ecommerce"/>
    <s v="North"/>
    <n v="2E-3"/>
    <n v="299"/>
    <s v="Normal Merchant Day"/>
  </r>
  <r>
    <s v="TXN100321"/>
    <n v="159"/>
    <x v="22"/>
    <d v="2026-01-29T02:04:00"/>
    <n v="99"/>
    <s v="UPI"/>
    <x v="0"/>
    <n v="91"/>
    <s v="Merchant_026"/>
    <s v="food_delivery"/>
    <s v="East"/>
    <n v="2E-3"/>
    <n v="148"/>
    <s v="Normal Merchant Day"/>
  </r>
  <r>
    <s v="TXN100322"/>
    <n v="211"/>
    <x v="1"/>
    <d v="2026-01-24T15:33:00"/>
    <n v="99"/>
    <s v="Wallet"/>
    <x v="0"/>
    <n v="73"/>
    <s v="Merchant_027"/>
    <s v="ecommerce"/>
    <s v="North"/>
    <n v="6.4999999999999997E-3"/>
    <n v="99"/>
    <s v="Normal Merchant Day"/>
  </r>
  <r>
    <s v="TXN100323"/>
    <n v="329"/>
    <x v="32"/>
    <d v="2026-01-03T04:20:00"/>
    <n v="499"/>
    <s v="Netbanking"/>
    <x v="0"/>
    <n v="57"/>
    <s v="Merchant_005"/>
    <s v="recharge"/>
    <s v="South"/>
    <n v="0.01"/>
    <n v="499"/>
    <s v="Normal Merchant Day"/>
  </r>
  <r>
    <s v="TXN100324"/>
    <n v="177"/>
    <x v="39"/>
    <d v="2026-01-15T21:33:00"/>
    <n v="99"/>
    <s v="UPI"/>
    <x v="0"/>
    <n v="99"/>
    <s v="Merchant_009"/>
    <s v="ecommerce"/>
    <s v="North"/>
    <n v="2E-3"/>
    <n v="148"/>
    <s v="Normal Merchant Day"/>
  </r>
  <r>
    <s v="TXN100325"/>
    <n v="94"/>
    <x v="39"/>
    <d v="2026-01-18T20:37:00"/>
    <n v="299"/>
    <s v="UPI"/>
    <x v="0"/>
    <n v="55"/>
    <s v="Merchant_009"/>
    <s v="ecommerce"/>
    <s v="North"/>
    <n v="2E-3"/>
    <n v="299"/>
    <s v="Normal Merchant Day"/>
  </r>
  <r>
    <s v="TXN100326"/>
    <n v="64"/>
    <x v="36"/>
    <d v="2026-01-17T01:53:00"/>
    <n v="299"/>
    <s v="UPI"/>
    <x v="0"/>
    <n v="19"/>
    <s v="Merchant_034"/>
    <s v="travel"/>
    <s v="South"/>
    <n v="2E-3"/>
    <n v="299"/>
    <s v="Normal Merchant Day"/>
  </r>
  <r>
    <s v="TXN100327"/>
    <n v="166"/>
    <x v="19"/>
    <d v="2026-01-10T05:10:00"/>
    <n v="49"/>
    <s v="UPI"/>
    <x v="0"/>
    <n v="44"/>
    <s v="Merchant_015"/>
    <s v="travel"/>
    <s v="North"/>
    <n v="2E-3"/>
    <n v="49"/>
    <s v="Normal Merchant Day"/>
  </r>
  <r>
    <s v="TXN100328"/>
    <n v="41"/>
    <x v="28"/>
    <d v="2026-01-17T09:54:00"/>
    <n v="299"/>
    <s v="Wallet"/>
    <x v="0"/>
    <n v="25"/>
    <s v="Merchant_017"/>
    <s v="grocery"/>
    <s v="North"/>
    <n v="6.4999999999999997E-3"/>
    <n v="299"/>
    <s v="Normal Merchant Day"/>
  </r>
  <r>
    <s v="TXN100329"/>
    <n v="65"/>
    <x v="15"/>
    <d v="2026-01-21T17:17:00"/>
    <n v="99"/>
    <s v="Card"/>
    <x v="0"/>
    <n v="78"/>
    <s v="Merchant_020"/>
    <s v="food_delivery"/>
    <s v="East"/>
    <n v="1.4999999999999999E-2"/>
    <n v="99"/>
    <s v="Normal Merchant Day"/>
  </r>
  <r>
    <s v="TXN100330"/>
    <n v="329"/>
    <x v="2"/>
    <d v="2026-01-18T02:32:00"/>
    <n v="499"/>
    <s v="UPI"/>
    <x v="0"/>
    <n v="75"/>
    <s v="Merchant_011"/>
    <s v="ecommerce"/>
    <s v="North"/>
    <n v="2E-3"/>
    <n v="499"/>
    <s v="Normal Merchant Day"/>
  </r>
  <r>
    <s v="TXN100331"/>
    <n v="338"/>
    <x v="12"/>
    <d v="2026-01-19T04:10:00"/>
    <n v="149"/>
    <s v="UPI"/>
    <x v="0"/>
    <n v="92"/>
    <s v="Merchant_040"/>
    <s v="entertainment"/>
    <s v="South"/>
    <n v="2E-3"/>
    <n v="648"/>
    <s v="Normal Merchant Day"/>
  </r>
  <r>
    <s v="TXN100332"/>
    <n v="289"/>
    <x v="4"/>
    <d v="2026-01-29T19:21:00"/>
    <n v="49"/>
    <s v="Netbanking"/>
    <x v="0"/>
    <n v="3"/>
    <s v="Merchant_003"/>
    <s v="grocery"/>
    <s v="East"/>
    <n v="0.01"/>
    <n v="49"/>
    <s v="Normal Merchant Day"/>
  </r>
  <r>
    <s v="TXN100333"/>
    <n v="296"/>
    <x v="28"/>
    <d v="2026-01-03T01:41:00"/>
    <n v="99"/>
    <s v="UPI"/>
    <x v="0"/>
    <n v="83"/>
    <s v="Merchant_017"/>
    <s v="grocery"/>
    <s v="North"/>
    <n v="2E-3"/>
    <n v="398"/>
    <s v="Normal Merchant Day"/>
  </r>
  <r>
    <s v="TXN100334"/>
    <n v="317"/>
    <x v="27"/>
    <d v="2026-01-07T18:26:00"/>
    <n v="499"/>
    <s v="Card"/>
    <x v="0"/>
    <n v="63"/>
    <s v="Merchant_002"/>
    <s v="grocery"/>
    <s v="West"/>
    <n v="1.4999999999999999E-2"/>
    <n v="499"/>
    <s v="Normal Merchant Day"/>
  </r>
  <r>
    <s v="TXN100335"/>
    <n v="149"/>
    <x v="15"/>
    <d v="2026-01-29T20:34:00"/>
    <n v="499"/>
    <s v="Card"/>
    <x v="0"/>
    <n v="61"/>
    <s v="Merchant_020"/>
    <s v="food_delivery"/>
    <s v="East"/>
    <n v="1.4999999999999999E-2"/>
    <n v="499"/>
    <s v="Normal Merchant Day"/>
  </r>
  <r>
    <s v="TXN100336"/>
    <n v="153"/>
    <x v="24"/>
    <d v="2026-01-08T21:25:00"/>
    <n v="299"/>
    <s v="UPI"/>
    <x v="0"/>
    <n v="9"/>
    <s v="Merchant_030"/>
    <s v="travel"/>
    <s v="West"/>
    <n v="2E-3"/>
    <n v="1197"/>
    <s v="Normal Merchant Day"/>
  </r>
  <r>
    <s v="TXN100337"/>
    <n v="226"/>
    <x v="1"/>
    <d v="2026-01-23T01:10:00"/>
    <n v="2999"/>
    <s v="UPI"/>
    <x v="2"/>
    <n v="61"/>
    <s v="Merchant_027"/>
    <s v="ecommerce"/>
    <s v="North"/>
    <n v="2E-3"/>
    <n v="3998"/>
    <s v="Normal Merchant Day"/>
  </r>
  <r>
    <s v="TXN100338"/>
    <n v="311"/>
    <x v="34"/>
    <d v="2026-01-15T06:21:00"/>
    <n v="2999"/>
    <s v="UPI"/>
    <x v="0"/>
    <n v="40"/>
    <s v="Merchant_010"/>
    <s v="grocery"/>
    <s v="West"/>
    <n v="2E-3"/>
    <n v="2999"/>
    <s v="Normal Merchant Day"/>
  </r>
  <r>
    <s v="TXN100339"/>
    <n v="177"/>
    <x v="22"/>
    <d v="2026-01-28T22:20:00"/>
    <n v="1499"/>
    <s v="UPI"/>
    <x v="0"/>
    <n v="16"/>
    <s v="Merchant_026"/>
    <s v="food_delivery"/>
    <s v="East"/>
    <n v="2E-3"/>
    <n v="1499"/>
    <s v="Normal Merchant Day"/>
  </r>
  <r>
    <s v="TXN100340"/>
    <n v="288"/>
    <x v="23"/>
    <d v="2026-01-25T11:32:00"/>
    <n v="99"/>
    <s v="Netbanking"/>
    <x v="0"/>
    <n v="40"/>
    <s v="Merchant_007"/>
    <s v="food_delivery"/>
    <s v="East"/>
    <n v="0.01"/>
    <n v="99"/>
    <s v="Normal Merchant Day"/>
  </r>
  <r>
    <s v="TXN100341"/>
    <n v="137"/>
    <x v="26"/>
    <d v="2026-01-08T14:07:00"/>
    <n v="2999"/>
    <s v="UPI"/>
    <x v="1"/>
    <n v="31"/>
    <s v="Merchant_029"/>
    <s v="ecommerce"/>
    <s v="North"/>
    <n v="2E-3"/>
    <n v="2999"/>
    <s v="Normal Merchant Day"/>
  </r>
  <r>
    <s v="TXN100342"/>
    <n v="149"/>
    <x v="14"/>
    <d v="2026-01-05T03:03:00"/>
    <n v="1499"/>
    <s v="UPI"/>
    <x v="0"/>
    <n v="78"/>
    <s v="Merchant_025"/>
    <s v="travel"/>
    <s v="South"/>
    <n v="2E-3"/>
    <n v="4498"/>
    <s v="Normal Merchant Day"/>
  </r>
  <r>
    <s v="TXN100343"/>
    <n v="82"/>
    <x v="17"/>
    <d v="2026-01-14T07:55:00"/>
    <n v="49"/>
    <s v="Wallet"/>
    <x v="0"/>
    <n v="73"/>
    <s v="Merchant_021"/>
    <s v="food_delivery"/>
    <s v="East"/>
    <n v="6.4999999999999997E-3"/>
    <n v="49"/>
    <s v="Normal Merchant Day"/>
  </r>
  <r>
    <s v="TXN100344"/>
    <n v="82"/>
    <x v="33"/>
    <d v="2026-01-24T10:12:00"/>
    <n v="49"/>
    <s v="UPI"/>
    <x v="0"/>
    <n v="65"/>
    <s v="Merchant_032"/>
    <s v="food_delivery"/>
    <s v="West"/>
    <n v="2E-3"/>
    <n v="49"/>
    <s v="Normal Merchant Day"/>
  </r>
  <r>
    <s v="TXN100345"/>
    <n v="158"/>
    <x v="33"/>
    <d v="2026-01-15T15:56:00"/>
    <n v="99"/>
    <s v="Wallet"/>
    <x v="0"/>
    <n v="2"/>
    <s v="Merchant_032"/>
    <s v="food_delivery"/>
    <s v="West"/>
    <n v="6.4999999999999997E-3"/>
    <n v="148"/>
    <s v="Normal Merchant Day"/>
  </r>
  <r>
    <s v="TXN100346"/>
    <n v="235"/>
    <x v="0"/>
    <d v="2026-01-03T12:32:00"/>
    <n v="99"/>
    <s v="UPI"/>
    <x v="0"/>
    <n v="27"/>
    <s v="Merchant_016"/>
    <s v="bill_payment"/>
    <s v="West"/>
    <n v="2E-3"/>
    <n v="99"/>
    <s v="Normal Merchant Day"/>
  </r>
  <r>
    <s v="TXN100347"/>
    <n v="26"/>
    <x v="13"/>
    <d v="2026-01-19T11:03:00"/>
    <n v="99"/>
    <s v="Wallet"/>
    <x v="0"/>
    <n v="63"/>
    <s v="Merchant_019"/>
    <s v="grocery"/>
    <s v="North"/>
    <n v="6.4999999999999997E-3"/>
    <n v="99"/>
    <s v="Normal Merchant Day"/>
  </r>
  <r>
    <s v="TXN100348"/>
    <n v="241"/>
    <x v="13"/>
    <d v="2026-01-20T20:43:00"/>
    <n v="299"/>
    <s v="UPI"/>
    <x v="0"/>
    <n v="68"/>
    <s v="Merchant_019"/>
    <s v="grocery"/>
    <s v="North"/>
    <n v="2E-3"/>
    <n v="348"/>
    <s v="Normal Merchant Day"/>
  </r>
  <r>
    <s v="TXN100349"/>
    <n v="69"/>
    <x v="28"/>
    <d v="2026-01-01T03:27:00"/>
    <n v="1499"/>
    <s v="UPI"/>
    <x v="0"/>
    <n v="93"/>
    <s v="Merchant_017"/>
    <s v="grocery"/>
    <s v="North"/>
    <n v="2E-3"/>
    <n v="1499"/>
    <s v="Normal Merchant Day"/>
  </r>
  <r>
    <s v="TXN100350"/>
    <n v="24"/>
    <x v="22"/>
    <d v="2026-01-12T12:23:00"/>
    <n v="299"/>
    <s v="Netbanking"/>
    <x v="0"/>
    <n v="6"/>
    <s v="Merchant_026"/>
    <s v="food_delivery"/>
    <s v="East"/>
    <n v="0.01"/>
    <n v="299"/>
    <s v="Normal Merchant Day"/>
  </r>
  <r>
    <s v="TXN100351"/>
    <n v="186"/>
    <x v="25"/>
    <d v="2026-01-19T17:12:00"/>
    <n v="4999"/>
    <s v="UPI"/>
    <x v="0"/>
    <n v="36"/>
    <s v="Merchant_036"/>
    <s v="entertainment"/>
    <s v="East"/>
    <n v="2E-3"/>
    <n v="4999"/>
    <s v="Normal Merchant Day"/>
  </r>
  <r>
    <s v="TXN100352"/>
    <n v="231"/>
    <x v="25"/>
    <d v="2026-01-03T12:32:00"/>
    <n v="149"/>
    <s v="UPI"/>
    <x v="0"/>
    <n v="35"/>
    <s v="Merchant_036"/>
    <s v="entertainment"/>
    <s v="East"/>
    <n v="2E-3"/>
    <n v="248"/>
    <s v="Normal Merchant Day"/>
  </r>
  <r>
    <s v="TXN100353"/>
    <n v="313"/>
    <x v="30"/>
    <d v="2026-01-27T19:43:00"/>
    <n v="1499"/>
    <s v="Netbanking"/>
    <x v="0"/>
    <n v="16"/>
    <s v="Merchant_008"/>
    <s v="food_delivery"/>
    <s v="North"/>
    <n v="0.01"/>
    <n v="1499"/>
    <s v="Normal Merchant Day"/>
  </r>
  <r>
    <s v="TXN100354"/>
    <n v="174"/>
    <x v="25"/>
    <d v="2026-01-04T12:23:00"/>
    <n v="149"/>
    <s v="UPI"/>
    <x v="0"/>
    <n v="46"/>
    <s v="Merchant_036"/>
    <s v="entertainment"/>
    <s v="East"/>
    <n v="2E-3"/>
    <n v="149"/>
    <s v="Normal Merchant Day"/>
  </r>
  <r>
    <s v="TXN100355"/>
    <n v="309"/>
    <x v="11"/>
    <d v="2026-01-25T04:12:00"/>
    <n v="99"/>
    <s v="UPI"/>
    <x v="0"/>
    <n v="51"/>
    <s v="Merchant_033"/>
    <s v="bill_payment"/>
    <s v="East"/>
    <n v="2E-3"/>
    <n v="99"/>
    <s v="Normal Merchant Day"/>
  </r>
  <r>
    <s v="TXN100356"/>
    <n v="20"/>
    <x v="39"/>
    <d v="2026-01-17T01:02:00"/>
    <n v="99"/>
    <s v="UPI"/>
    <x v="0"/>
    <n v="91"/>
    <s v="Merchant_009"/>
    <s v="ecommerce"/>
    <s v="North"/>
    <n v="2E-3"/>
    <n v="248"/>
    <s v="Normal Merchant Day"/>
  </r>
  <r>
    <s v="TXN100357"/>
    <n v="234"/>
    <x v="34"/>
    <d v="2026-01-11T15:33:00"/>
    <n v="49"/>
    <s v="UPI"/>
    <x v="0"/>
    <n v="77"/>
    <s v="Merchant_010"/>
    <s v="grocery"/>
    <s v="West"/>
    <n v="2E-3"/>
    <n v="98"/>
    <s v="Normal Merchant Day"/>
  </r>
  <r>
    <s v="TXN100358"/>
    <n v="168"/>
    <x v="12"/>
    <d v="2026-01-29T16:08:00"/>
    <n v="149"/>
    <s v="UPI"/>
    <x v="2"/>
    <n v="40"/>
    <s v="Merchant_040"/>
    <s v="entertainment"/>
    <s v="South"/>
    <n v="2E-3"/>
    <n v="149"/>
    <s v="Normal Merchant Day"/>
  </r>
  <r>
    <s v="TXN100359"/>
    <n v="154"/>
    <x v="35"/>
    <d v="2026-01-06T12:39:00"/>
    <n v="99"/>
    <s v="Netbanking"/>
    <x v="0"/>
    <n v="43"/>
    <s v="Merchant_038"/>
    <s v="grocery"/>
    <s v="East"/>
    <n v="0.01"/>
    <n v="99"/>
    <s v="Normal Merchant Day"/>
  </r>
  <r>
    <s v="TXN100360"/>
    <n v="251"/>
    <x v="21"/>
    <d v="2026-01-17T16:34:00"/>
    <n v="49"/>
    <s v="UPI"/>
    <x v="0"/>
    <n v="38"/>
    <s v="Merchant_037"/>
    <s v="entertainment"/>
    <s v="South"/>
    <n v="2E-3"/>
    <n v="49"/>
    <s v="Normal Merchant Day"/>
  </r>
  <r>
    <s v="TXN100361"/>
    <n v="170"/>
    <x v="30"/>
    <d v="2026-01-16T00:23:00"/>
    <n v="2999"/>
    <s v="UPI"/>
    <x v="0"/>
    <n v="53"/>
    <s v="Merchant_008"/>
    <s v="food_delivery"/>
    <s v="North"/>
    <n v="2E-3"/>
    <n v="2999"/>
    <s v="Normal Merchant Day"/>
  </r>
  <r>
    <s v="TXN100362"/>
    <n v="323"/>
    <x v="27"/>
    <d v="2026-01-19T09:50:00"/>
    <n v="49"/>
    <s v="Netbanking"/>
    <x v="0"/>
    <n v="76"/>
    <s v="Merchant_002"/>
    <s v="grocery"/>
    <s v="West"/>
    <n v="0.01"/>
    <n v="49"/>
    <s v="Normal Merchant Day"/>
  </r>
  <r>
    <s v="TXN100363"/>
    <n v="297"/>
    <x v="21"/>
    <d v="2026-01-16T08:41:00"/>
    <n v="2999"/>
    <s v="Wallet"/>
    <x v="0"/>
    <n v="29"/>
    <s v="Merchant_037"/>
    <s v="entertainment"/>
    <s v="South"/>
    <n v="6.4999999999999997E-3"/>
    <n v="2999"/>
    <s v="Normal Merchant Day"/>
  </r>
  <r>
    <s v="TXN100364"/>
    <n v="246"/>
    <x v="2"/>
    <d v="2026-01-24T01:37:00"/>
    <n v="299"/>
    <s v="UPI"/>
    <x v="0"/>
    <n v="67"/>
    <s v="Merchant_011"/>
    <s v="ecommerce"/>
    <s v="North"/>
    <n v="2E-3"/>
    <n v="1798"/>
    <s v="Normal Merchant Day"/>
  </r>
  <r>
    <s v="TXN100365"/>
    <n v="195"/>
    <x v="34"/>
    <d v="2026-01-21T23:39:00"/>
    <n v="99"/>
    <s v="UPI"/>
    <x v="0"/>
    <n v="87"/>
    <s v="Merchant_010"/>
    <s v="grocery"/>
    <s v="West"/>
    <n v="2E-3"/>
    <n v="398"/>
    <s v="Normal Merchant Day"/>
  </r>
  <r>
    <s v="TXN100366"/>
    <n v="57"/>
    <x v="6"/>
    <d v="2026-01-08T01:36:00"/>
    <n v="149"/>
    <s v="UPI"/>
    <x v="0"/>
    <n v="2"/>
    <s v="Merchant_013"/>
    <s v="travel"/>
    <s v="East"/>
    <n v="2E-3"/>
    <n v="149"/>
    <s v="Normal Merchant Day"/>
  </r>
  <r>
    <s v="TXN100367"/>
    <n v="78"/>
    <x v="1"/>
    <d v="2026-01-15T10:26:00"/>
    <n v="1499"/>
    <s v="Netbanking"/>
    <x v="1"/>
    <n v="88"/>
    <s v="Merchant_027"/>
    <s v="ecommerce"/>
    <s v="North"/>
    <n v="0.01"/>
    <n v="1499"/>
    <s v="Normal Merchant Day"/>
  </r>
  <r>
    <s v="TXN100368"/>
    <n v="314"/>
    <x v="20"/>
    <d v="2026-01-07T13:32:00"/>
    <n v="49"/>
    <s v="UPI"/>
    <x v="2"/>
    <n v="94"/>
    <s v="Merchant_031"/>
    <s v="bill_payment"/>
    <s v="East"/>
    <n v="2E-3"/>
    <n v="49"/>
    <s v="Normal Merchant Day"/>
  </r>
  <r>
    <s v="TXN100369"/>
    <n v="71"/>
    <x v="36"/>
    <d v="2026-01-24T01:45:00"/>
    <n v="499"/>
    <s v="UPI"/>
    <x v="0"/>
    <n v="26"/>
    <s v="Merchant_034"/>
    <s v="travel"/>
    <s v="South"/>
    <n v="2E-3"/>
    <n v="548"/>
    <s v="Normal Merchant Day"/>
  </r>
  <r>
    <s v="TXN100370"/>
    <n v="245"/>
    <x v="36"/>
    <d v="2026-01-18T10:42:00"/>
    <n v="99"/>
    <s v="UPI"/>
    <x v="0"/>
    <n v="48"/>
    <s v="Merchant_034"/>
    <s v="travel"/>
    <s v="South"/>
    <n v="2E-3"/>
    <n v="148"/>
    <s v="Normal Merchant Day"/>
  </r>
  <r>
    <s v="TXN100371"/>
    <n v="273"/>
    <x v="3"/>
    <d v="2026-01-11T05:29:00"/>
    <n v="299"/>
    <s v="Wallet"/>
    <x v="0"/>
    <n v="69"/>
    <s v="Merchant_022"/>
    <s v="travel"/>
    <s v="South"/>
    <n v="6.4999999999999997E-3"/>
    <n v="299"/>
    <s v="Normal Merchant Day"/>
  </r>
  <r>
    <s v="TXN100372"/>
    <n v="349"/>
    <x v="28"/>
    <d v="2026-01-12T21:49:00"/>
    <n v="1499"/>
    <s v="UPI"/>
    <x v="0"/>
    <n v="78"/>
    <s v="Merchant_017"/>
    <s v="grocery"/>
    <s v="North"/>
    <n v="2E-3"/>
    <n v="1499"/>
    <s v="Normal Merchant Day"/>
  </r>
  <r>
    <s v="TXN100373"/>
    <n v="143"/>
    <x v="25"/>
    <d v="2026-01-16T06:15:00"/>
    <n v="1499"/>
    <s v="Netbanking"/>
    <x v="0"/>
    <n v="38"/>
    <s v="Merchant_036"/>
    <s v="entertainment"/>
    <s v="East"/>
    <n v="0.01"/>
    <n v="1499"/>
    <s v="Normal Merchant Day"/>
  </r>
  <r>
    <s v="TXN100374"/>
    <n v="148"/>
    <x v="16"/>
    <d v="2026-01-08T09:49:00"/>
    <n v="799"/>
    <s v="Wallet"/>
    <x v="0"/>
    <n v="88"/>
    <s v="Merchant_014"/>
    <s v="grocery"/>
    <s v="East"/>
    <n v="6.4999999999999997E-3"/>
    <n v="799"/>
    <s v="Normal Merchant Day"/>
  </r>
  <r>
    <s v="TXN100375"/>
    <n v="246"/>
    <x v="5"/>
    <d v="2026-01-23T15:20:00"/>
    <n v="49"/>
    <s v="UPI"/>
    <x v="0"/>
    <n v="71"/>
    <s v="Merchant_023"/>
    <s v="travel"/>
    <s v="North"/>
    <n v="2E-3"/>
    <n v="247"/>
    <s v="Normal Merchant Day"/>
  </r>
  <r>
    <s v="TXN100376"/>
    <n v="148"/>
    <x v="30"/>
    <d v="2026-01-30T23:17:00"/>
    <n v="99"/>
    <s v="Wallet"/>
    <x v="0"/>
    <n v="73"/>
    <s v="Merchant_008"/>
    <s v="food_delivery"/>
    <s v="North"/>
    <n v="6.4999999999999997E-3"/>
    <n v="99"/>
    <s v="Normal Merchant Day"/>
  </r>
  <r>
    <s v="TXN100377"/>
    <n v="203"/>
    <x v="5"/>
    <d v="2026-01-22T17:24:00"/>
    <n v="49"/>
    <s v="UPI"/>
    <x v="0"/>
    <n v="98"/>
    <s v="Merchant_023"/>
    <s v="travel"/>
    <s v="North"/>
    <n v="2E-3"/>
    <n v="49"/>
    <s v="Normal Merchant Day"/>
  </r>
  <r>
    <s v="TXN100378"/>
    <n v="22"/>
    <x v="13"/>
    <d v="2026-01-26T04:18:00"/>
    <n v="49"/>
    <s v="Card"/>
    <x v="0"/>
    <n v="91"/>
    <s v="Merchant_019"/>
    <s v="grocery"/>
    <s v="North"/>
    <n v="1.4999999999999999E-2"/>
    <n v="49"/>
    <s v="Normal Merchant Day"/>
  </r>
  <r>
    <s v="TXN100379"/>
    <n v="227"/>
    <x v="28"/>
    <d v="2026-01-03T11:59:00"/>
    <n v="299"/>
    <s v="Wallet"/>
    <x v="0"/>
    <n v="95"/>
    <s v="Merchant_017"/>
    <s v="grocery"/>
    <s v="North"/>
    <n v="6.4999999999999997E-3"/>
    <n v="398"/>
    <s v="Normal Merchant Day"/>
  </r>
  <r>
    <s v="TXN100380"/>
    <n v="276"/>
    <x v="7"/>
    <d v="2026-01-16T06:12:00"/>
    <n v="149"/>
    <s v="Wallet"/>
    <x v="0"/>
    <n v="71"/>
    <s v="Merchant_018"/>
    <s v="grocery"/>
    <s v="West"/>
    <n v="6.4999999999999997E-3"/>
    <n v="3148"/>
    <s v="Normal Merchant Day"/>
  </r>
  <r>
    <s v="TXN100381"/>
    <n v="56"/>
    <x v="12"/>
    <d v="2026-01-23T08:08:00"/>
    <n v="99"/>
    <s v="Card"/>
    <x v="0"/>
    <n v="94"/>
    <s v="Merchant_040"/>
    <s v="entertainment"/>
    <s v="South"/>
    <n v="1.4999999999999999E-2"/>
    <n v="598"/>
    <s v="Normal Merchant Day"/>
  </r>
  <r>
    <s v="TXN100382"/>
    <n v="26"/>
    <x v="36"/>
    <d v="2026-01-19T07:15:00"/>
    <n v="499"/>
    <s v="Card"/>
    <x v="0"/>
    <n v="28"/>
    <s v="Merchant_034"/>
    <s v="travel"/>
    <s v="South"/>
    <n v="1.4999999999999999E-2"/>
    <n v="499"/>
    <s v="Normal Merchant Day"/>
  </r>
  <r>
    <s v="TXN100383"/>
    <n v="52"/>
    <x v="1"/>
    <d v="2026-01-21T07:03:00"/>
    <n v="499"/>
    <s v="Card"/>
    <x v="0"/>
    <n v="42"/>
    <s v="Merchant_027"/>
    <s v="ecommerce"/>
    <s v="North"/>
    <n v="1.4999999999999999E-2"/>
    <n v="499"/>
    <s v="Normal Merchant Day"/>
  </r>
  <r>
    <s v="TXN100384"/>
    <n v="349"/>
    <x v="39"/>
    <d v="2026-01-23T15:06:00"/>
    <n v="499"/>
    <s v="Wallet"/>
    <x v="0"/>
    <n v="0"/>
    <s v="Merchant_009"/>
    <s v="ecommerce"/>
    <s v="North"/>
    <n v="6.4999999999999997E-3"/>
    <n v="898"/>
    <s v="Normal Merchant Day"/>
  </r>
  <r>
    <s v="TXN100385"/>
    <n v="335"/>
    <x v="20"/>
    <d v="2026-01-18T05:26:00"/>
    <n v="49"/>
    <s v="Card"/>
    <x v="0"/>
    <n v="61"/>
    <s v="Merchant_031"/>
    <s v="bill_payment"/>
    <s v="East"/>
    <n v="1.4999999999999999E-2"/>
    <n v="49"/>
    <s v="Normal Merchant Day"/>
  </r>
  <r>
    <s v="TXN100386"/>
    <n v="148"/>
    <x v="17"/>
    <d v="2026-01-21T06:48:00"/>
    <n v="49"/>
    <s v="Card"/>
    <x v="0"/>
    <n v="36"/>
    <s v="Merchant_021"/>
    <s v="food_delivery"/>
    <s v="East"/>
    <n v="1.4999999999999999E-2"/>
    <n v="49"/>
    <s v="Normal Merchant Day"/>
  </r>
  <r>
    <s v="TXN100387"/>
    <n v="46"/>
    <x v="21"/>
    <d v="2026-01-21T01:58:00"/>
    <n v="99"/>
    <s v="Wallet"/>
    <x v="0"/>
    <n v="29"/>
    <s v="Merchant_037"/>
    <s v="entertainment"/>
    <s v="South"/>
    <n v="6.4999999999999997E-3"/>
    <n v="99"/>
    <s v="Normal Merchant Day"/>
  </r>
  <r>
    <s v="TXN100388"/>
    <n v="20"/>
    <x v="9"/>
    <d v="2026-01-18T23:46:00"/>
    <n v="799"/>
    <s v="Card"/>
    <x v="0"/>
    <n v="53"/>
    <s v="Merchant_012"/>
    <s v="ecommerce"/>
    <s v="East"/>
    <n v="1.4999999999999999E-2"/>
    <n v="799"/>
    <s v="Normal Merchant Day"/>
  </r>
  <r>
    <s v="TXN100389"/>
    <n v="19"/>
    <x v="22"/>
    <d v="2026-01-29T05:59:00"/>
    <n v="49"/>
    <s v="UPI"/>
    <x v="0"/>
    <n v="100"/>
    <s v="Merchant_026"/>
    <s v="food_delivery"/>
    <s v="East"/>
    <n v="2E-3"/>
    <n v="148"/>
    <s v="Normal Merchant Day"/>
  </r>
  <r>
    <s v="TXN100390"/>
    <n v="149"/>
    <x v="4"/>
    <d v="2026-01-16T05:59:00"/>
    <n v="4999"/>
    <s v="Wallet"/>
    <x v="0"/>
    <n v="1"/>
    <s v="Merchant_003"/>
    <s v="grocery"/>
    <s v="East"/>
    <n v="6.4999999999999997E-3"/>
    <n v="4999"/>
    <s v="Normal Merchant Day"/>
  </r>
  <r>
    <s v="TXN100391"/>
    <n v="55"/>
    <x v="3"/>
    <d v="2026-01-10T18:38:00"/>
    <n v="499"/>
    <s v="UPI"/>
    <x v="0"/>
    <n v="36"/>
    <s v="Merchant_022"/>
    <s v="travel"/>
    <s v="South"/>
    <n v="2E-3"/>
    <n v="499"/>
    <s v="Normal Merchant Day"/>
  </r>
  <r>
    <s v="TXN100392"/>
    <n v="269"/>
    <x v="33"/>
    <d v="2026-01-15T20:34:00"/>
    <n v="49"/>
    <s v="Card"/>
    <x v="0"/>
    <n v="17"/>
    <s v="Merchant_032"/>
    <s v="food_delivery"/>
    <s v="West"/>
    <n v="1.4999999999999999E-2"/>
    <n v="148"/>
    <s v="Normal Merchant Day"/>
  </r>
  <r>
    <s v="TXN100393"/>
    <n v="140"/>
    <x v="6"/>
    <d v="2026-01-28T16:29:00"/>
    <n v="2999"/>
    <s v="UPI"/>
    <x v="0"/>
    <n v="14"/>
    <s v="Merchant_013"/>
    <s v="travel"/>
    <s v="East"/>
    <n v="2E-3"/>
    <n v="2999"/>
    <s v="Normal Merchant Day"/>
  </r>
  <r>
    <s v="TXN100394"/>
    <n v="235"/>
    <x v="28"/>
    <d v="2026-01-11T05:46:00"/>
    <n v="2999"/>
    <s v="UPI"/>
    <x v="0"/>
    <n v="91"/>
    <s v="Merchant_017"/>
    <s v="grocery"/>
    <s v="North"/>
    <n v="2E-3"/>
    <n v="7998"/>
    <s v="High-Value Merchant Day"/>
  </r>
  <r>
    <s v="TXN100395"/>
    <n v="173"/>
    <x v="13"/>
    <d v="2026-01-06T00:47:00"/>
    <n v="499"/>
    <s v="UPI"/>
    <x v="1"/>
    <n v="72"/>
    <s v="Merchant_019"/>
    <s v="grocery"/>
    <s v="North"/>
    <n v="2E-3"/>
    <n v="499"/>
    <s v="Normal Merchant Day"/>
  </r>
  <r>
    <s v="TXN100396"/>
    <n v="313"/>
    <x v="22"/>
    <d v="2026-01-22T06:11:00"/>
    <n v="499"/>
    <s v="UPI"/>
    <x v="0"/>
    <n v="54"/>
    <s v="Merchant_026"/>
    <s v="food_delivery"/>
    <s v="East"/>
    <n v="2E-3"/>
    <n v="499"/>
    <s v="Normal Merchant Day"/>
  </r>
  <r>
    <s v="TXN100397"/>
    <n v="206"/>
    <x v="23"/>
    <d v="2026-01-17T10:05:00"/>
    <n v="149"/>
    <s v="Wallet"/>
    <x v="0"/>
    <n v="23"/>
    <s v="Merchant_007"/>
    <s v="food_delivery"/>
    <s v="East"/>
    <n v="6.4999999999999997E-3"/>
    <n v="149"/>
    <s v="Normal Merchant Day"/>
  </r>
  <r>
    <s v="TXN100398"/>
    <n v="128"/>
    <x v="37"/>
    <d v="2026-01-05T15:20:00"/>
    <n v="1499"/>
    <s v="Netbanking"/>
    <x v="0"/>
    <n v="33"/>
    <s v="Merchant_001"/>
    <s v="ecommerce"/>
    <s v="South"/>
    <n v="0.01"/>
    <n v="1499"/>
    <s v="Normal Merchant Day"/>
  </r>
  <r>
    <s v="TXN100399"/>
    <n v="137"/>
    <x v="3"/>
    <d v="2026-01-13T07:28:00"/>
    <n v="799"/>
    <s v="UPI"/>
    <x v="1"/>
    <n v="38"/>
    <s v="Merchant_022"/>
    <s v="travel"/>
    <s v="South"/>
    <n v="2E-3"/>
    <n v="5798"/>
    <s v="High-Value Merchant Day"/>
  </r>
  <r>
    <s v="TXN100400"/>
    <n v="6"/>
    <x v="28"/>
    <d v="2026-01-19T23:36:00"/>
    <n v="49"/>
    <s v="UPI"/>
    <x v="0"/>
    <n v="83"/>
    <s v="Merchant_017"/>
    <s v="grocery"/>
    <s v="North"/>
    <n v="2E-3"/>
    <n v="49"/>
    <s v="Normal Merchant Day"/>
  </r>
  <r>
    <s v="TXN100401"/>
    <n v="32"/>
    <x v="30"/>
    <d v="2026-01-12T22:15:00"/>
    <n v="299"/>
    <s v="Card"/>
    <x v="0"/>
    <n v="59"/>
    <s v="Merchant_008"/>
    <s v="food_delivery"/>
    <s v="North"/>
    <n v="1.4999999999999999E-2"/>
    <n v="398"/>
    <s v="Normal Merchant Day"/>
  </r>
  <r>
    <s v="TXN100402"/>
    <n v="258"/>
    <x v="15"/>
    <d v="2026-01-10T05:25:00"/>
    <n v="149"/>
    <s v="UPI"/>
    <x v="0"/>
    <n v="88"/>
    <s v="Merchant_020"/>
    <s v="food_delivery"/>
    <s v="East"/>
    <n v="2E-3"/>
    <n v="149"/>
    <s v="Normal Merchant Day"/>
  </r>
  <r>
    <s v="TXN100403"/>
    <n v="152"/>
    <x v="31"/>
    <d v="2026-01-04T20:58:00"/>
    <n v="149"/>
    <s v="UPI"/>
    <x v="2"/>
    <n v="78"/>
    <s v="Merchant_024"/>
    <s v="grocery"/>
    <s v="North"/>
    <n v="2E-3"/>
    <n v="149"/>
    <s v="Normal Merchant Day"/>
  </r>
  <r>
    <s v="TXN100404"/>
    <n v="245"/>
    <x v="34"/>
    <d v="2026-01-08T07:08:00"/>
    <n v="799"/>
    <s v="Wallet"/>
    <x v="0"/>
    <n v="58"/>
    <s v="Merchant_010"/>
    <s v="grocery"/>
    <s v="West"/>
    <n v="6.4999999999999997E-3"/>
    <n v="799"/>
    <s v="Normal Merchant Day"/>
  </r>
  <r>
    <s v="TXN100405"/>
    <n v="213"/>
    <x v="25"/>
    <d v="2026-01-24T19:23:00"/>
    <n v="49"/>
    <s v="Wallet"/>
    <x v="0"/>
    <n v="60"/>
    <s v="Merchant_036"/>
    <s v="entertainment"/>
    <s v="East"/>
    <n v="6.4999999999999997E-3"/>
    <n v="1647"/>
    <s v="Normal Merchant Day"/>
  </r>
  <r>
    <s v="TXN100406"/>
    <n v="341"/>
    <x v="16"/>
    <d v="2026-01-25T17:51:00"/>
    <n v="99"/>
    <s v="Netbanking"/>
    <x v="0"/>
    <n v="97"/>
    <s v="Merchant_014"/>
    <s v="grocery"/>
    <s v="East"/>
    <n v="0.01"/>
    <n v="1598"/>
    <s v="Normal Merchant Day"/>
  </r>
  <r>
    <s v="TXN100407"/>
    <n v="306"/>
    <x v="18"/>
    <d v="2026-01-08T21:48:00"/>
    <n v="149"/>
    <s v="Netbanking"/>
    <x v="0"/>
    <n v="67"/>
    <s v="Merchant_006"/>
    <s v="food_delivery"/>
    <s v="South"/>
    <n v="0.01"/>
    <n v="149"/>
    <s v="Normal Merchant Day"/>
  </r>
  <r>
    <s v="TXN100408"/>
    <n v="186"/>
    <x v="32"/>
    <d v="2026-01-15T16:45:00"/>
    <n v="499"/>
    <s v="UPI"/>
    <x v="0"/>
    <n v="72"/>
    <s v="Merchant_005"/>
    <s v="recharge"/>
    <s v="South"/>
    <n v="2E-3"/>
    <n v="548"/>
    <s v="Normal Merchant Day"/>
  </r>
  <r>
    <s v="TXN100409"/>
    <n v="281"/>
    <x v="11"/>
    <d v="2026-01-04T01:53:00"/>
    <n v="4999"/>
    <s v="UPI"/>
    <x v="0"/>
    <n v="25"/>
    <s v="Merchant_033"/>
    <s v="bill_payment"/>
    <s v="East"/>
    <n v="2E-3"/>
    <n v="4999"/>
    <s v="Normal Merchant Day"/>
  </r>
  <r>
    <s v="TXN100410"/>
    <n v="85"/>
    <x v="17"/>
    <d v="2026-01-19T17:09:00"/>
    <n v="99"/>
    <s v="UPI"/>
    <x v="0"/>
    <n v="66"/>
    <s v="Merchant_021"/>
    <s v="food_delivery"/>
    <s v="East"/>
    <n v="2E-3"/>
    <n v="99"/>
    <s v="Normal Merchant Day"/>
  </r>
  <r>
    <s v="TXN100411"/>
    <n v="106"/>
    <x v="35"/>
    <d v="2026-01-15T03:43:00"/>
    <n v="499"/>
    <s v="UPI"/>
    <x v="0"/>
    <n v="62"/>
    <s v="Merchant_038"/>
    <s v="grocery"/>
    <s v="East"/>
    <n v="2E-3"/>
    <n v="499"/>
    <s v="Normal Merchant Day"/>
  </r>
  <r>
    <s v="TXN100412"/>
    <n v="29"/>
    <x v="24"/>
    <d v="2026-01-03T16:28:00"/>
    <n v="149"/>
    <s v="Netbanking"/>
    <x v="0"/>
    <n v="16"/>
    <s v="Merchant_030"/>
    <s v="travel"/>
    <s v="West"/>
    <n v="0.01"/>
    <n v="149"/>
    <s v="Normal Merchant Day"/>
  </r>
  <r>
    <s v="TXN100413"/>
    <n v="289"/>
    <x v="29"/>
    <d v="2026-01-17T13:29:00"/>
    <n v="1499"/>
    <s v="Card"/>
    <x v="0"/>
    <n v="71"/>
    <s v="Merchant_004"/>
    <s v="ecommerce"/>
    <s v="East"/>
    <n v="1.4999999999999999E-2"/>
    <n v="1499"/>
    <s v="Normal Merchant Day"/>
  </r>
  <r>
    <s v="TXN100414"/>
    <n v="158"/>
    <x v="27"/>
    <d v="2026-01-15T21:51:00"/>
    <n v="1499"/>
    <s v="Card"/>
    <x v="0"/>
    <n v="50"/>
    <s v="Merchant_002"/>
    <s v="grocery"/>
    <s v="West"/>
    <n v="1.4999999999999999E-2"/>
    <n v="1499"/>
    <s v="Normal Merchant Day"/>
  </r>
  <r>
    <s v="TXN100415"/>
    <n v="112"/>
    <x v="35"/>
    <d v="2026-01-09T00:47:00"/>
    <n v="49"/>
    <s v="UPI"/>
    <x v="0"/>
    <n v="9"/>
    <s v="Merchant_038"/>
    <s v="grocery"/>
    <s v="East"/>
    <n v="2E-3"/>
    <n v="348"/>
    <s v="Normal Merchant Day"/>
  </r>
  <r>
    <s v="TXN100416"/>
    <n v="33"/>
    <x v="8"/>
    <d v="2026-01-02T13:22:00"/>
    <n v="299"/>
    <s v="Card"/>
    <x v="1"/>
    <n v="7"/>
    <s v="Merchant_035"/>
    <s v="recharge"/>
    <s v="East"/>
    <n v="1.4999999999999999E-2"/>
    <n v="1847"/>
    <s v="Normal Merchant Day"/>
  </r>
  <r>
    <s v="TXN100417"/>
    <n v="242"/>
    <x v="4"/>
    <d v="2026-01-30T02:59:00"/>
    <n v="49"/>
    <s v="UPI"/>
    <x v="0"/>
    <n v="36"/>
    <s v="Merchant_003"/>
    <s v="grocery"/>
    <s v="East"/>
    <n v="2E-3"/>
    <n v="49"/>
    <s v="Normal Merchant Day"/>
  </r>
  <r>
    <s v="TXN100418"/>
    <n v="70"/>
    <x v="1"/>
    <d v="2026-01-14T05:49:00"/>
    <n v="149"/>
    <s v="UPI"/>
    <x v="0"/>
    <n v="47"/>
    <s v="Merchant_027"/>
    <s v="ecommerce"/>
    <s v="North"/>
    <n v="2E-3"/>
    <n v="149"/>
    <s v="Normal Merchant Day"/>
  </r>
  <r>
    <s v="TXN100419"/>
    <n v="194"/>
    <x v="14"/>
    <d v="2026-01-29T12:28:00"/>
    <n v="49"/>
    <s v="Wallet"/>
    <x v="0"/>
    <n v="10"/>
    <s v="Merchant_025"/>
    <s v="travel"/>
    <s v="South"/>
    <n v="6.4999999999999997E-3"/>
    <n v="3048"/>
    <s v="Normal Merchant Day"/>
  </r>
  <r>
    <s v="TXN100420"/>
    <n v="277"/>
    <x v="39"/>
    <d v="2026-01-22T21:55:00"/>
    <n v="799"/>
    <s v="UPI"/>
    <x v="0"/>
    <n v="83"/>
    <s v="Merchant_009"/>
    <s v="ecommerce"/>
    <s v="North"/>
    <n v="2E-3"/>
    <n v="1298"/>
    <s v="Normal Merchant Day"/>
  </r>
  <r>
    <s v="TXN100421"/>
    <n v="92"/>
    <x v="8"/>
    <d v="2026-01-28T11:07:00"/>
    <n v="49"/>
    <s v="UPI"/>
    <x v="0"/>
    <n v="50"/>
    <s v="Merchant_035"/>
    <s v="recharge"/>
    <s v="East"/>
    <n v="2E-3"/>
    <n v="49"/>
    <s v="Normal Merchant Day"/>
  </r>
  <r>
    <s v="TXN100422"/>
    <n v="115"/>
    <x v="37"/>
    <d v="2026-01-17T04:46:00"/>
    <n v="149"/>
    <s v="Wallet"/>
    <x v="0"/>
    <n v="96"/>
    <s v="Merchant_001"/>
    <s v="ecommerce"/>
    <s v="South"/>
    <n v="6.4999999999999997E-3"/>
    <n v="149"/>
    <s v="Normal Merchant Day"/>
  </r>
  <r>
    <s v="TXN100423"/>
    <n v="345"/>
    <x v="8"/>
    <d v="2026-01-01T09:29:00"/>
    <n v="499"/>
    <s v="Card"/>
    <x v="0"/>
    <n v="54"/>
    <s v="Merchant_035"/>
    <s v="recharge"/>
    <s v="East"/>
    <n v="1.4999999999999999E-2"/>
    <n v="798"/>
    <s v="Normal Merchant Day"/>
  </r>
  <r>
    <s v="TXN100424"/>
    <n v="118"/>
    <x v="0"/>
    <d v="2026-01-18T12:52:00"/>
    <n v="49"/>
    <s v="UPI"/>
    <x v="0"/>
    <n v="58"/>
    <s v="Merchant_016"/>
    <s v="bill_payment"/>
    <s v="West"/>
    <n v="2E-3"/>
    <n v="49"/>
    <s v="Normal Merchant Day"/>
  </r>
  <r>
    <s v="TXN100425"/>
    <n v="97"/>
    <x v="30"/>
    <d v="2026-01-12T04:17:00"/>
    <n v="99"/>
    <s v="Netbanking"/>
    <x v="0"/>
    <n v="4"/>
    <s v="Merchant_008"/>
    <s v="food_delivery"/>
    <s v="North"/>
    <n v="0.01"/>
    <n v="398"/>
    <s v="Normal Merchant Day"/>
  </r>
  <r>
    <s v="TXN100426"/>
    <n v="315"/>
    <x v="27"/>
    <d v="2026-01-26T21:26:00"/>
    <n v="299"/>
    <s v="Wallet"/>
    <x v="0"/>
    <n v="30"/>
    <s v="Merchant_002"/>
    <s v="grocery"/>
    <s v="West"/>
    <n v="6.4999999999999997E-3"/>
    <n v="299"/>
    <s v="Normal Merchant Day"/>
  </r>
  <r>
    <s v="TXN100427"/>
    <n v="305"/>
    <x v="4"/>
    <d v="2026-01-07T02:06:00"/>
    <n v="299"/>
    <s v="UPI"/>
    <x v="0"/>
    <n v="57"/>
    <s v="Merchant_003"/>
    <s v="grocery"/>
    <s v="East"/>
    <n v="2E-3"/>
    <n v="798"/>
    <s v="Normal Merchant Day"/>
  </r>
  <r>
    <s v="TXN100428"/>
    <n v="25"/>
    <x v="0"/>
    <d v="2026-01-20T21:45:00"/>
    <n v="299"/>
    <s v="UPI"/>
    <x v="0"/>
    <n v="94"/>
    <s v="Merchant_016"/>
    <s v="bill_payment"/>
    <s v="West"/>
    <n v="2E-3"/>
    <n v="448"/>
    <s v="Normal Merchant Day"/>
  </r>
  <r>
    <s v="TXN100429"/>
    <n v="120"/>
    <x v="8"/>
    <d v="2026-01-02T12:28:00"/>
    <n v="49"/>
    <s v="UPI"/>
    <x v="0"/>
    <n v="27"/>
    <s v="Merchant_035"/>
    <s v="recharge"/>
    <s v="East"/>
    <n v="2E-3"/>
    <n v="1847"/>
    <s v="Normal Merchant Day"/>
  </r>
  <r>
    <s v="TXN100430"/>
    <n v="258"/>
    <x v="13"/>
    <d v="2026-01-25T01:08:00"/>
    <n v="49"/>
    <s v="Wallet"/>
    <x v="0"/>
    <n v="29"/>
    <s v="Merchant_019"/>
    <s v="grocery"/>
    <s v="North"/>
    <n v="6.4999999999999997E-3"/>
    <n v="49"/>
    <s v="Normal Merchant Day"/>
  </r>
  <r>
    <s v="TXN100431"/>
    <n v="164"/>
    <x v="21"/>
    <d v="2026-01-27T23:36:00"/>
    <n v="799"/>
    <s v="UPI"/>
    <x v="0"/>
    <n v="76"/>
    <s v="Merchant_037"/>
    <s v="entertainment"/>
    <s v="South"/>
    <n v="2E-3"/>
    <n v="799"/>
    <s v="Normal Merchant Day"/>
  </r>
  <r>
    <s v="TXN100432"/>
    <n v="165"/>
    <x v="0"/>
    <d v="2026-01-25T21:52:00"/>
    <n v="49"/>
    <s v="Wallet"/>
    <x v="0"/>
    <n v="38"/>
    <s v="Merchant_016"/>
    <s v="bill_payment"/>
    <s v="West"/>
    <n v="6.4999999999999997E-3"/>
    <n v="98"/>
    <s v="Normal Merchant Day"/>
  </r>
  <r>
    <s v="TXN100433"/>
    <n v="267"/>
    <x v="19"/>
    <d v="2026-01-29T04:42:00"/>
    <n v="49"/>
    <s v="Netbanking"/>
    <x v="0"/>
    <n v="52"/>
    <s v="Merchant_015"/>
    <s v="travel"/>
    <s v="North"/>
    <n v="0.01"/>
    <n v="98"/>
    <s v="Normal Merchant Day"/>
  </r>
  <r>
    <s v="TXN100434"/>
    <n v="286"/>
    <x v="35"/>
    <d v="2026-01-10T08:03:00"/>
    <n v="299"/>
    <s v="Wallet"/>
    <x v="0"/>
    <n v="94"/>
    <s v="Merchant_038"/>
    <s v="grocery"/>
    <s v="East"/>
    <n v="6.4999999999999997E-3"/>
    <n v="398"/>
    <s v="Normal Merchant Day"/>
  </r>
  <r>
    <s v="TXN100435"/>
    <n v="348"/>
    <x v="10"/>
    <d v="2026-01-30T05:40:00"/>
    <n v="499"/>
    <s v="Card"/>
    <x v="0"/>
    <n v="71"/>
    <s v="Merchant_028"/>
    <s v="ecommerce"/>
    <s v="South"/>
    <n v="1.4999999999999999E-2"/>
    <n v="499"/>
    <s v="Normal Merchant Day"/>
  </r>
  <r>
    <s v="TXN100436"/>
    <n v="330"/>
    <x v="14"/>
    <d v="2026-01-16T01:22:00"/>
    <n v="799"/>
    <s v="UPI"/>
    <x v="0"/>
    <n v="100"/>
    <s v="Merchant_025"/>
    <s v="travel"/>
    <s v="South"/>
    <n v="2E-3"/>
    <n v="799"/>
    <s v="Normal Merchant Day"/>
  </r>
  <r>
    <s v="TXN100437"/>
    <n v="214"/>
    <x v="1"/>
    <d v="2026-01-17T10:44:00"/>
    <n v="299"/>
    <s v="Card"/>
    <x v="0"/>
    <n v="19"/>
    <s v="Merchant_027"/>
    <s v="ecommerce"/>
    <s v="North"/>
    <n v="1.4999999999999999E-2"/>
    <n v="1597"/>
    <s v="Normal Merchant Day"/>
  </r>
  <r>
    <s v="TXN100438"/>
    <n v="276"/>
    <x v="20"/>
    <d v="2026-01-10T12:11:00"/>
    <n v="499"/>
    <s v="UPI"/>
    <x v="0"/>
    <n v="30"/>
    <s v="Merchant_031"/>
    <s v="bill_payment"/>
    <s v="East"/>
    <n v="2E-3"/>
    <n v="499"/>
    <s v="Normal Merchant Day"/>
  </r>
  <r>
    <s v="TXN100439"/>
    <n v="74"/>
    <x v="24"/>
    <d v="2026-01-28T07:19:00"/>
    <n v="49"/>
    <s v="UPI"/>
    <x v="0"/>
    <n v="7"/>
    <s v="Merchant_030"/>
    <s v="travel"/>
    <s v="West"/>
    <n v="2E-3"/>
    <n v="49"/>
    <s v="Normal Merchant Day"/>
  </r>
  <r>
    <s v="TXN100440"/>
    <n v="286"/>
    <x v="36"/>
    <d v="2026-01-18T13:26:00"/>
    <n v="49"/>
    <s v="Card"/>
    <x v="0"/>
    <n v="17"/>
    <s v="Merchant_034"/>
    <s v="travel"/>
    <s v="South"/>
    <n v="1.4999999999999999E-2"/>
    <n v="148"/>
    <s v="Normal Merchant Day"/>
  </r>
  <r>
    <s v="TXN100441"/>
    <n v="105"/>
    <x v="3"/>
    <d v="2026-01-13T07:16:00"/>
    <n v="4999"/>
    <s v="UPI"/>
    <x v="0"/>
    <n v="82"/>
    <s v="Merchant_022"/>
    <s v="travel"/>
    <s v="South"/>
    <n v="2E-3"/>
    <n v="5798"/>
    <s v="High-Value Merchant Day"/>
  </r>
  <r>
    <s v="TXN100442"/>
    <n v="190"/>
    <x v="18"/>
    <d v="2026-01-03T14:54:00"/>
    <n v="799"/>
    <s v="Wallet"/>
    <x v="0"/>
    <n v="68"/>
    <s v="Merchant_006"/>
    <s v="food_delivery"/>
    <s v="South"/>
    <n v="6.4999999999999997E-3"/>
    <n v="799"/>
    <s v="Normal Merchant Day"/>
  </r>
  <r>
    <s v="TXN100443"/>
    <n v="138"/>
    <x v="14"/>
    <d v="2026-01-24T06:03:00"/>
    <n v="299"/>
    <s v="Wallet"/>
    <x v="0"/>
    <n v="86"/>
    <s v="Merchant_025"/>
    <s v="travel"/>
    <s v="South"/>
    <n v="6.4999999999999997E-3"/>
    <n v="497"/>
    <s v="Normal Merchant Day"/>
  </r>
  <r>
    <s v="TXN100444"/>
    <n v="38"/>
    <x v="6"/>
    <d v="2026-01-20T19:02:00"/>
    <n v="4999"/>
    <s v="Netbanking"/>
    <x v="0"/>
    <n v="97"/>
    <s v="Merchant_013"/>
    <s v="travel"/>
    <s v="East"/>
    <n v="0.01"/>
    <n v="4999"/>
    <s v="Normal Merchant Day"/>
  </r>
  <r>
    <s v="TXN100445"/>
    <n v="287"/>
    <x v="16"/>
    <d v="2026-01-19T23:42:00"/>
    <n v="99"/>
    <s v="Wallet"/>
    <x v="0"/>
    <n v="61"/>
    <s v="Merchant_014"/>
    <s v="grocery"/>
    <s v="East"/>
    <n v="6.4999999999999997E-3"/>
    <n v="99"/>
    <s v="Normal Merchant Day"/>
  </r>
  <r>
    <s v="TXN100446"/>
    <n v="8"/>
    <x v="16"/>
    <d v="2026-01-07T10:19:00"/>
    <n v="49"/>
    <s v="UPI"/>
    <x v="0"/>
    <n v="24"/>
    <s v="Merchant_014"/>
    <s v="grocery"/>
    <s v="East"/>
    <n v="2E-3"/>
    <n v="49"/>
    <s v="Normal Merchant Day"/>
  </r>
  <r>
    <s v="TXN100447"/>
    <n v="246"/>
    <x v="0"/>
    <d v="2026-01-24T03:47:00"/>
    <n v="1499"/>
    <s v="Wallet"/>
    <x v="0"/>
    <n v="89"/>
    <s v="Merchant_016"/>
    <s v="bill_payment"/>
    <s v="West"/>
    <n v="6.4999999999999997E-3"/>
    <n v="1548"/>
    <s v="Normal Merchant Day"/>
  </r>
  <r>
    <s v="TXN100448"/>
    <n v="204"/>
    <x v="0"/>
    <d v="2026-01-20T22:13:00"/>
    <n v="149"/>
    <s v="UPI"/>
    <x v="0"/>
    <n v="70"/>
    <s v="Merchant_016"/>
    <s v="bill_payment"/>
    <s v="West"/>
    <n v="2E-3"/>
    <n v="448"/>
    <s v="Normal Merchant Day"/>
  </r>
  <r>
    <s v="TXN100449"/>
    <n v="239"/>
    <x v="8"/>
    <d v="2026-01-11T09:24:00"/>
    <n v="4999"/>
    <s v="UPI"/>
    <x v="0"/>
    <n v="83"/>
    <s v="Merchant_035"/>
    <s v="recharge"/>
    <s v="East"/>
    <n v="2E-3"/>
    <n v="4999"/>
    <s v="Normal Merchant Day"/>
  </r>
  <r>
    <s v="TXN100450"/>
    <n v="185"/>
    <x v="11"/>
    <d v="2026-01-12T09:16:00"/>
    <n v="299"/>
    <s v="UPI"/>
    <x v="0"/>
    <n v="63"/>
    <s v="Merchant_033"/>
    <s v="bill_payment"/>
    <s v="East"/>
    <n v="2E-3"/>
    <n v="299"/>
    <s v="Normal Merchant Day"/>
  </r>
  <r>
    <s v="TXN100451"/>
    <n v="241"/>
    <x v="17"/>
    <d v="2026-01-15T03:51:00"/>
    <n v="299"/>
    <s v="Card"/>
    <x v="0"/>
    <n v="26"/>
    <s v="Merchant_021"/>
    <s v="food_delivery"/>
    <s v="East"/>
    <n v="1.4999999999999999E-2"/>
    <n v="299"/>
    <s v="Normal Merchant Day"/>
  </r>
  <r>
    <s v="TXN100452"/>
    <n v="24"/>
    <x v="21"/>
    <d v="2026-01-12T10:26:00"/>
    <n v="149"/>
    <s v="UPI"/>
    <x v="0"/>
    <n v="28"/>
    <s v="Merchant_037"/>
    <s v="entertainment"/>
    <s v="South"/>
    <n v="2E-3"/>
    <n v="149"/>
    <s v="Normal Merchant Day"/>
  </r>
  <r>
    <s v="TXN100453"/>
    <n v="134"/>
    <x v="25"/>
    <d v="2026-01-24T04:01:00"/>
    <n v="1499"/>
    <s v="UPI"/>
    <x v="0"/>
    <n v="74"/>
    <s v="Merchant_036"/>
    <s v="entertainment"/>
    <s v="East"/>
    <n v="2E-3"/>
    <n v="1647"/>
    <s v="Normal Merchant Day"/>
  </r>
  <r>
    <s v="TXN100454"/>
    <n v="152"/>
    <x v="34"/>
    <d v="2026-01-19T23:26:00"/>
    <n v="499"/>
    <s v="Wallet"/>
    <x v="0"/>
    <n v="25"/>
    <s v="Merchant_010"/>
    <s v="grocery"/>
    <s v="West"/>
    <n v="6.4999999999999997E-3"/>
    <n v="499"/>
    <s v="Normal Merchant Day"/>
  </r>
  <r>
    <s v="TXN100455"/>
    <n v="292"/>
    <x v="0"/>
    <d v="2026-01-11T07:24:00"/>
    <n v="499"/>
    <s v="Netbanking"/>
    <x v="0"/>
    <n v="63"/>
    <s v="Merchant_016"/>
    <s v="bill_payment"/>
    <s v="West"/>
    <n v="0.01"/>
    <n v="499"/>
    <s v="Normal Merchant Day"/>
  </r>
  <r>
    <s v="TXN100456"/>
    <n v="173"/>
    <x v="28"/>
    <d v="2026-01-18T20:43:00"/>
    <n v="99"/>
    <s v="Netbanking"/>
    <x v="0"/>
    <n v="97"/>
    <s v="Merchant_017"/>
    <s v="grocery"/>
    <s v="North"/>
    <n v="0.01"/>
    <n v="198"/>
    <s v="Normal Merchant Day"/>
  </r>
  <r>
    <s v="TXN100457"/>
    <n v="329"/>
    <x v="33"/>
    <d v="2026-01-27T15:46:00"/>
    <n v="1499"/>
    <s v="UPI"/>
    <x v="0"/>
    <n v="58"/>
    <s v="Merchant_032"/>
    <s v="food_delivery"/>
    <s v="West"/>
    <n v="2E-3"/>
    <n v="1499"/>
    <s v="Normal Merchant Day"/>
  </r>
  <r>
    <s v="TXN100458"/>
    <n v="181"/>
    <x v="2"/>
    <d v="2026-01-06T23:50:00"/>
    <n v="1499"/>
    <s v="UPI"/>
    <x v="0"/>
    <n v="17"/>
    <s v="Merchant_011"/>
    <s v="ecommerce"/>
    <s v="North"/>
    <n v="2E-3"/>
    <n v="1499"/>
    <s v="Normal Merchant Day"/>
  </r>
  <r>
    <s v="TXN100459"/>
    <n v="95"/>
    <x v="8"/>
    <d v="2026-01-24T17:31:00"/>
    <n v="149"/>
    <s v="Wallet"/>
    <x v="0"/>
    <n v="82"/>
    <s v="Merchant_035"/>
    <s v="recharge"/>
    <s v="East"/>
    <n v="6.4999999999999997E-3"/>
    <n v="149"/>
    <s v="Normal Merchant Day"/>
  </r>
  <r>
    <s v="TXN100460"/>
    <n v="39"/>
    <x v="29"/>
    <d v="2026-01-02T16:02:00"/>
    <n v="149"/>
    <s v="Netbanking"/>
    <x v="0"/>
    <n v="97"/>
    <s v="Merchant_004"/>
    <s v="ecommerce"/>
    <s v="East"/>
    <n v="0.01"/>
    <n v="149"/>
    <s v="Normal Merchant Day"/>
  </r>
  <r>
    <s v="TXN100461"/>
    <n v="323"/>
    <x v="19"/>
    <d v="2026-01-01T13:08:00"/>
    <n v="499"/>
    <s v="UPI"/>
    <x v="0"/>
    <n v="8"/>
    <s v="Merchant_015"/>
    <s v="travel"/>
    <s v="North"/>
    <n v="2E-3"/>
    <n v="499"/>
    <s v="Normal Merchant Day"/>
  </r>
  <r>
    <s v="TXN100462"/>
    <n v="112"/>
    <x v="11"/>
    <d v="2026-01-23T04:00:00"/>
    <n v="49"/>
    <s v="Netbanking"/>
    <x v="0"/>
    <n v="58"/>
    <s v="Merchant_033"/>
    <s v="bill_payment"/>
    <s v="East"/>
    <n v="0.01"/>
    <n v="49"/>
    <s v="Normal Merchant Day"/>
  </r>
  <r>
    <s v="TXN100463"/>
    <n v="327"/>
    <x v="12"/>
    <d v="2026-01-12T01:39:00"/>
    <n v="99"/>
    <s v="UPI"/>
    <x v="0"/>
    <n v="61"/>
    <s v="Merchant_040"/>
    <s v="entertainment"/>
    <s v="South"/>
    <n v="2E-3"/>
    <n v="99"/>
    <s v="Normal Merchant Day"/>
  </r>
  <r>
    <s v="TXN100464"/>
    <n v="4"/>
    <x v="8"/>
    <d v="2026-01-22T15:01:00"/>
    <n v="299"/>
    <s v="UPI"/>
    <x v="0"/>
    <n v="70"/>
    <s v="Merchant_035"/>
    <s v="recharge"/>
    <s v="East"/>
    <n v="2E-3"/>
    <n v="299"/>
    <s v="Normal Merchant Day"/>
  </r>
  <r>
    <s v="TXN100465"/>
    <n v="272"/>
    <x v="7"/>
    <d v="2026-01-14T00:01:00"/>
    <n v="149"/>
    <s v="UPI"/>
    <x v="0"/>
    <n v="68"/>
    <s v="Merchant_018"/>
    <s v="grocery"/>
    <s v="West"/>
    <n v="2E-3"/>
    <n v="149"/>
    <s v="Normal Merchant Day"/>
  </r>
  <r>
    <s v="TXN100466"/>
    <n v="346"/>
    <x v="10"/>
    <d v="2026-01-10T00:32:00"/>
    <n v="499"/>
    <s v="UPI"/>
    <x v="0"/>
    <n v="22"/>
    <s v="Merchant_028"/>
    <s v="ecommerce"/>
    <s v="South"/>
    <n v="2E-3"/>
    <n v="499"/>
    <s v="Normal Merchant Day"/>
  </r>
  <r>
    <s v="TXN100467"/>
    <n v="77"/>
    <x v="0"/>
    <d v="2026-01-04T03:33:00"/>
    <n v="49"/>
    <s v="Wallet"/>
    <x v="0"/>
    <n v="24"/>
    <s v="Merchant_016"/>
    <s v="bill_payment"/>
    <s v="West"/>
    <n v="6.4999999999999997E-3"/>
    <n v="49"/>
    <s v="Normal Merchant Day"/>
  </r>
  <r>
    <s v="TXN100468"/>
    <n v="182"/>
    <x v="7"/>
    <d v="2026-01-20T16:16:00"/>
    <n v="149"/>
    <s v="Card"/>
    <x v="0"/>
    <n v="50"/>
    <s v="Merchant_018"/>
    <s v="grocery"/>
    <s v="West"/>
    <n v="1.4999999999999999E-2"/>
    <n v="149"/>
    <s v="Normal Merchant Day"/>
  </r>
  <r>
    <s v="TXN100469"/>
    <n v="236"/>
    <x v="21"/>
    <d v="2026-01-03T11:25:00"/>
    <n v="299"/>
    <s v="Card"/>
    <x v="0"/>
    <n v="31"/>
    <s v="Merchant_037"/>
    <s v="entertainment"/>
    <s v="South"/>
    <n v="1.4999999999999999E-2"/>
    <n v="299"/>
    <s v="Normal Merchant Day"/>
  </r>
  <r>
    <s v="TXN100470"/>
    <n v="42"/>
    <x v="4"/>
    <d v="2026-01-23T07:19:00"/>
    <n v="49"/>
    <s v="UPI"/>
    <x v="0"/>
    <n v="11"/>
    <s v="Merchant_003"/>
    <s v="grocery"/>
    <s v="East"/>
    <n v="2E-3"/>
    <n v="49"/>
    <s v="Normal Merchant Day"/>
  </r>
  <r>
    <s v="TXN100471"/>
    <n v="283"/>
    <x v="20"/>
    <d v="2026-01-13T12:24:00"/>
    <n v="299"/>
    <s v="Netbanking"/>
    <x v="0"/>
    <n v="7"/>
    <s v="Merchant_031"/>
    <s v="bill_payment"/>
    <s v="East"/>
    <n v="0.01"/>
    <n v="299"/>
    <s v="Normal Merchant Day"/>
  </r>
  <r>
    <s v="TXN100472"/>
    <n v="88"/>
    <x v="18"/>
    <d v="2026-01-21T00:44:00"/>
    <n v="49"/>
    <s v="UPI"/>
    <x v="0"/>
    <n v="63"/>
    <s v="Merchant_006"/>
    <s v="food_delivery"/>
    <s v="South"/>
    <n v="2E-3"/>
    <n v="49"/>
    <s v="Normal Merchant Day"/>
  </r>
  <r>
    <s v="TXN100473"/>
    <n v="170"/>
    <x v="21"/>
    <d v="2026-01-28T13:41:00"/>
    <n v="99"/>
    <s v="UPI"/>
    <x v="1"/>
    <n v="12"/>
    <s v="Merchant_037"/>
    <s v="entertainment"/>
    <s v="South"/>
    <n v="2E-3"/>
    <n v="697"/>
    <s v="Normal Merchant Day"/>
  </r>
  <r>
    <s v="TXN100474"/>
    <n v="22"/>
    <x v="19"/>
    <d v="2026-01-29T16:58:00"/>
    <n v="49"/>
    <s v="Netbanking"/>
    <x v="0"/>
    <n v="27"/>
    <s v="Merchant_015"/>
    <s v="travel"/>
    <s v="North"/>
    <n v="0.01"/>
    <n v="98"/>
    <s v="Normal Merchant Day"/>
  </r>
  <r>
    <s v="TXN100475"/>
    <n v="291"/>
    <x v="20"/>
    <d v="2026-01-29T22:56:00"/>
    <n v="49"/>
    <s v="Netbanking"/>
    <x v="1"/>
    <n v="34"/>
    <s v="Merchant_031"/>
    <s v="bill_payment"/>
    <s v="East"/>
    <n v="0.01"/>
    <n v="49"/>
    <s v="Normal Merchant Day"/>
  </r>
  <r>
    <s v="TXN100476"/>
    <n v="144"/>
    <x v="8"/>
    <d v="2026-01-02T02:43:00"/>
    <n v="1499"/>
    <s v="UPI"/>
    <x v="0"/>
    <n v="72"/>
    <s v="Merchant_035"/>
    <s v="recharge"/>
    <s v="East"/>
    <n v="2E-3"/>
    <n v="1847"/>
    <s v="Normal Merchant Day"/>
  </r>
  <r>
    <s v="TXN100477"/>
    <n v="162"/>
    <x v="27"/>
    <d v="2026-01-22T01:11:00"/>
    <n v="299"/>
    <s v="Wallet"/>
    <x v="0"/>
    <n v="26"/>
    <s v="Merchant_002"/>
    <s v="grocery"/>
    <s v="West"/>
    <n v="6.4999999999999997E-3"/>
    <n v="299"/>
    <s v="Normal Merchant Day"/>
  </r>
  <r>
    <s v="TXN100478"/>
    <n v="204"/>
    <x v="32"/>
    <d v="2026-01-19T04:48:00"/>
    <n v="49"/>
    <s v="UPI"/>
    <x v="0"/>
    <n v="38"/>
    <s v="Merchant_005"/>
    <s v="recharge"/>
    <s v="South"/>
    <n v="2E-3"/>
    <n v="49"/>
    <s v="Normal Merchant Day"/>
  </r>
  <r>
    <s v="TXN100479"/>
    <n v="291"/>
    <x v="14"/>
    <d v="2026-01-06T18:15:00"/>
    <n v="99"/>
    <s v="Wallet"/>
    <x v="0"/>
    <n v="86"/>
    <s v="Merchant_025"/>
    <s v="travel"/>
    <s v="South"/>
    <n v="6.4999999999999997E-3"/>
    <n v="898"/>
    <s v="Normal Merchant Day"/>
  </r>
  <r>
    <s v="TXN100480"/>
    <n v="197"/>
    <x v="39"/>
    <d v="2026-01-29T17:21:00"/>
    <n v="49"/>
    <s v="Wallet"/>
    <x v="1"/>
    <n v="88"/>
    <s v="Merchant_009"/>
    <s v="ecommerce"/>
    <s v="North"/>
    <n v="6.4999999999999997E-3"/>
    <n v="49"/>
    <s v="Normal Merchant Day"/>
  </r>
  <r>
    <s v="TXN100481"/>
    <n v="178"/>
    <x v="29"/>
    <d v="2026-01-24T02:32:00"/>
    <n v="1499"/>
    <s v="UPI"/>
    <x v="0"/>
    <n v="12"/>
    <s v="Merchant_004"/>
    <s v="ecommerce"/>
    <s v="East"/>
    <n v="2E-3"/>
    <n v="1499"/>
    <s v="Normal Merchant Day"/>
  </r>
  <r>
    <s v="TXN100482"/>
    <n v="39"/>
    <x v="3"/>
    <d v="2026-01-14T07:53:00"/>
    <n v="799"/>
    <s v="Netbanking"/>
    <x v="0"/>
    <n v="77"/>
    <s v="Merchant_022"/>
    <s v="travel"/>
    <s v="South"/>
    <n v="0.01"/>
    <n v="799"/>
    <s v="Normal Merchant Day"/>
  </r>
  <r>
    <s v="TXN100483"/>
    <n v="204"/>
    <x v="17"/>
    <d v="2026-01-25T19:38:00"/>
    <n v="299"/>
    <s v="Wallet"/>
    <x v="0"/>
    <n v="3"/>
    <s v="Merchant_021"/>
    <s v="food_delivery"/>
    <s v="East"/>
    <n v="6.4999999999999997E-3"/>
    <n v="299"/>
    <s v="Normal Merchant Day"/>
  </r>
  <r>
    <s v="TXN100484"/>
    <n v="231"/>
    <x v="33"/>
    <d v="2026-01-21T08:50:00"/>
    <n v="299"/>
    <s v="UPI"/>
    <x v="0"/>
    <n v="29"/>
    <s v="Merchant_032"/>
    <s v="food_delivery"/>
    <s v="West"/>
    <n v="2E-3"/>
    <n v="348"/>
    <s v="Normal Merchant Day"/>
  </r>
  <r>
    <s v="TXN100485"/>
    <n v="222"/>
    <x v="9"/>
    <d v="2026-01-12T17:24:00"/>
    <n v="499"/>
    <s v="Wallet"/>
    <x v="1"/>
    <n v="87"/>
    <s v="Merchant_012"/>
    <s v="ecommerce"/>
    <s v="East"/>
    <n v="6.4999999999999997E-3"/>
    <n v="1998"/>
    <s v="Normal Merchant Day"/>
  </r>
  <r>
    <s v="TXN100486"/>
    <n v="44"/>
    <x v="12"/>
    <d v="2026-01-19T21:24:00"/>
    <n v="499"/>
    <s v="UPI"/>
    <x v="0"/>
    <n v="37"/>
    <s v="Merchant_040"/>
    <s v="entertainment"/>
    <s v="South"/>
    <n v="2E-3"/>
    <n v="648"/>
    <s v="Normal Merchant Day"/>
  </r>
  <r>
    <s v="TXN100487"/>
    <n v="38"/>
    <x v="18"/>
    <d v="2026-01-26T07:45:00"/>
    <n v="49"/>
    <s v="Wallet"/>
    <x v="0"/>
    <n v="34"/>
    <s v="Merchant_006"/>
    <s v="food_delivery"/>
    <s v="South"/>
    <n v="6.4999999999999997E-3"/>
    <n v="897"/>
    <s v="Normal Merchant Day"/>
  </r>
  <r>
    <s v="TXN100488"/>
    <n v="325"/>
    <x v="34"/>
    <d v="2026-01-05T12:45:00"/>
    <n v="49"/>
    <s v="Netbanking"/>
    <x v="2"/>
    <n v="94"/>
    <s v="Merchant_010"/>
    <s v="grocery"/>
    <s v="West"/>
    <n v="0.01"/>
    <n v="49"/>
    <s v="Normal Merchant Day"/>
  </r>
  <r>
    <s v="TXN100489"/>
    <n v="55"/>
    <x v="18"/>
    <d v="2026-01-13T10:23:00"/>
    <n v="1499"/>
    <s v="Card"/>
    <x v="0"/>
    <n v="0"/>
    <s v="Merchant_006"/>
    <s v="food_delivery"/>
    <s v="South"/>
    <n v="1.4999999999999999E-2"/>
    <n v="1499"/>
    <s v="Normal Merchant Day"/>
  </r>
  <r>
    <s v="TXN100490"/>
    <n v="139"/>
    <x v="23"/>
    <d v="2026-01-10T14:23:00"/>
    <n v="499"/>
    <s v="Card"/>
    <x v="0"/>
    <n v="16"/>
    <s v="Merchant_007"/>
    <s v="food_delivery"/>
    <s v="East"/>
    <n v="1.4999999999999999E-2"/>
    <n v="499"/>
    <s v="Normal Merchant Day"/>
  </r>
  <r>
    <s v="TXN100491"/>
    <n v="230"/>
    <x v="25"/>
    <d v="2026-01-03T05:27:00"/>
    <n v="99"/>
    <s v="Wallet"/>
    <x v="0"/>
    <n v="71"/>
    <s v="Merchant_036"/>
    <s v="entertainment"/>
    <s v="East"/>
    <n v="6.4999999999999997E-3"/>
    <n v="248"/>
    <s v="Normal Merchant Day"/>
  </r>
  <r>
    <s v="TXN100492"/>
    <n v="14"/>
    <x v="18"/>
    <d v="2026-01-17T13:06:00"/>
    <n v="799"/>
    <s v="Card"/>
    <x v="0"/>
    <n v="45"/>
    <s v="Merchant_006"/>
    <s v="food_delivery"/>
    <s v="South"/>
    <n v="1.4999999999999999E-2"/>
    <n v="799"/>
    <s v="Normal Merchant Day"/>
  </r>
  <r>
    <s v="TXN100493"/>
    <n v="307"/>
    <x v="17"/>
    <d v="2026-01-18T02:38:00"/>
    <n v="799"/>
    <s v="UPI"/>
    <x v="0"/>
    <n v="49"/>
    <s v="Merchant_021"/>
    <s v="food_delivery"/>
    <s v="East"/>
    <n v="2E-3"/>
    <n v="799"/>
    <s v="Normal Merchant Day"/>
  </r>
  <r>
    <s v="TXN100494"/>
    <n v="199"/>
    <x v="18"/>
    <d v="2026-01-01T09:26:00"/>
    <n v="49"/>
    <s v="UPI"/>
    <x v="0"/>
    <n v="92"/>
    <s v="Merchant_006"/>
    <s v="food_delivery"/>
    <s v="South"/>
    <n v="2E-3"/>
    <n v="49"/>
    <s v="Normal Merchant Day"/>
  </r>
  <r>
    <s v="TXN100495"/>
    <n v="125"/>
    <x v="21"/>
    <d v="2026-01-29T17:57:00"/>
    <n v="149"/>
    <s v="Wallet"/>
    <x v="0"/>
    <n v="66"/>
    <s v="Merchant_037"/>
    <s v="entertainment"/>
    <s v="South"/>
    <n v="6.4999999999999997E-3"/>
    <n v="149"/>
    <s v="Normal Merchant Day"/>
  </r>
  <r>
    <s v="TXN100496"/>
    <n v="87"/>
    <x v="39"/>
    <d v="2026-01-06T21:24:00"/>
    <n v="149"/>
    <s v="UPI"/>
    <x v="0"/>
    <n v="34"/>
    <s v="Merchant_009"/>
    <s v="ecommerce"/>
    <s v="North"/>
    <n v="2E-3"/>
    <n v="149"/>
    <s v="Normal Merchant Day"/>
  </r>
  <r>
    <s v="TXN100497"/>
    <n v="75"/>
    <x v="32"/>
    <d v="2026-01-10T08:31:00"/>
    <n v="99"/>
    <s v="UPI"/>
    <x v="0"/>
    <n v="21"/>
    <s v="Merchant_005"/>
    <s v="recharge"/>
    <s v="South"/>
    <n v="2E-3"/>
    <n v="99"/>
    <s v="Normal Merchant Day"/>
  </r>
  <r>
    <s v="TXN100498"/>
    <n v="154"/>
    <x v="20"/>
    <d v="2026-01-14T08:26:00"/>
    <n v="499"/>
    <s v="Wallet"/>
    <x v="0"/>
    <n v="100"/>
    <s v="Merchant_031"/>
    <s v="bill_payment"/>
    <s v="East"/>
    <n v="6.4999999999999997E-3"/>
    <n v="499"/>
    <s v="Normal Merchant Day"/>
  </r>
  <r>
    <s v="TXN100499"/>
    <n v="127"/>
    <x v="33"/>
    <d v="2026-01-03T11:16:00"/>
    <n v="149"/>
    <s v="Card"/>
    <x v="0"/>
    <n v="76"/>
    <s v="Merchant_032"/>
    <s v="food_delivery"/>
    <s v="West"/>
    <n v="1.4999999999999999E-2"/>
    <n v="149"/>
    <s v="Normal Merchant Day"/>
  </r>
  <r>
    <s v="TXN200000"/>
    <n v="351"/>
    <x v="23"/>
    <d v="2026-01-30T06:00:00"/>
    <n v="1999"/>
    <s v="Card"/>
    <x v="2"/>
    <n v="79"/>
    <s v="Merchant_007"/>
    <s v="food_delivery"/>
    <s v="East"/>
    <n v="1.4999999999999999E-2"/>
    <n v="1999"/>
    <s v="Normal Merchant Day"/>
  </r>
  <r>
    <s v="TXN200001"/>
    <n v="352"/>
    <x v="12"/>
    <d v="2026-01-11T12:00:00"/>
    <n v="4999"/>
    <s v="Card"/>
    <x v="2"/>
    <n v="95"/>
    <s v="Merchant_040"/>
    <s v="entertainment"/>
    <s v="South"/>
    <n v="1.4999999999999999E-2"/>
    <n v="4999"/>
    <s v="Normal Merchant Day"/>
  </r>
  <r>
    <s v="TXN200002"/>
    <n v="353"/>
    <x v="10"/>
    <d v="2026-01-21T14:00:00"/>
    <n v="1999"/>
    <s v="Card"/>
    <x v="2"/>
    <n v="79"/>
    <s v="Merchant_028"/>
    <s v="ecommerce"/>
    <s v="South"/>
    <n v="1.4999999999999999E-2"/>
    <n v="1999"/>
    <s v="Normal Merchant Day"/>
  </r>
  <r>
    <s v="TXN200003"/>
    <n v="354"/>
    <x v="6"/>
    <d v="2026-01-21T19:00:00"/>
    <n v="4999"/>
    <s v="Card"/>
    <x v="2"/>
    <n v="80"/>
    <s v="Merchant_013"/>
    <s v="travel"/>
    <s v="East"/>
    <n v="1.4999999999999999E-2"/>
    <n v="4999"/>
    <s v="Normal Merchant Day"/>
  </r>
  <r>
    <s v="TXN200004"/>
    <n v="355"/>
    <x v="13"/>
    <d v="2026-01-16T12:00:00"/>
    <n v="4999"/>
    <s v="Card"/>
    <x v="2"/>
    <n v="100"/>
    <s v="Merchant_019"/>
    <s v="grocery"/>
    <s v="North"/>
    <n v="1.4999999999999999E-2"/>
    <n v="4999"/>
    <s v="Normal Merchant Day"/>
  </r>
  <r>
    <s v="TXN200005"/>
    <n v="356"/>
    <x v="14"/>
    <d v="2026-01-29T07:00:00"/>
    <n v="2999"/>
    <s v="Card"/>
    <x v="2"/>
    <n v="96"/>
    <s v="Merchant_025"/>
    <s v="travel"/>
    <s v="South"/>
    <n v="1.4999999999999999E-2"/>
    <n v="3048"/>
    <s v="Normal Merchant Day"/>
  </r>
  <r>
    <s v="TXN200006"/>
    <n v="357"/>
    <x v="21"/>
    <d v="2026-01-23T11:00:00"/>
    <n v="1999"/>
    <s v="Card"/>
    <x v="2"/>
    <n v="88"/>
    <s v="Merchant_037"/>
    <s v="entertainment"/>
    <s v="South"/>
    <n v="1.4999999999999999E-2"/>
    <n v="1999"/>
    <s v="Normal Merchant Day"/>
  </r>
  <r>
    <s v="TXN200007"/>
    <n v="358"/>
    <x v="25"/>
    <d v="2026-01-28T05:00:00"/>
    <n v="999"/>
    <s v="Card"/>
    <x v="2"/>
    <n v="100"/>
    <s v="Merchant_036"/>
    <s v="entertainment"/>
    <s v="East"/>
    <n v="1.4999999999999999E-2"/>
    <n v="999"/>
    <s v="Normal Merchant Day"/>
  </r>
  <r>
    <s v="TXN200008"/>
    <n v="359"/>
    <x v="26"/>
    <d v="2026-01-25T22:00:00"/>
    <n v="2999"/>
    <s v="Card"/>
    <x v="2"/>
    <n v="96"/>
    <s v="Merchant_029"/>
    <s v="ecommerce"/>
    <s v="North"/>
    <n v="1.4999999999999999E-2"/>
    <n v="3896"/>
    <s v="Normal Merchant Day"/>
  </r>
  <r>
    <s v="TXN200009"/>
    <n v="360"/>
    <x v="33"/>
    <d v="2026-01-13T13:00:00"/>
    <n v="1999"/>
    <s v="Card"/>
    <x v="2"/>
    <n v="90"/>
    <s v="Merchant_032"/>
    <s v="food_delivery"/>
    <s v="West"/>
    <n v="1.4999999999999999E-2"/>
    <n v="1999"/>
    <s v="Normal Merchant Day"/>
  </r>
  <r>
    <s v="TXN200010"/>
    <n v="361"/>
    <x v="34"/>
    <d v="2026-01-20T07:00:00"/>
    <n v="4999"/>
    <s v="Card"/>
    <x v="2"/>
    <n v="95"/>
    <s v="Merchant_010"/>
    <s v="grocery"/>
    <s v="West"/>
    <n v="1.4999999999999999E-2"/>
    <n v="4999"/>
    <s v="Normal Merchant Day"/>
  </r>
  <r>
    <s v="TXN200011"/>
    <n v="362"/>
    <x v="38"/>
    <d v="2026-01-23T02:00:00"/>
    <n v="4999"/>
    <s v="Card"/>
    <x v="2"/>
    <n v="88"/>
    <s v="Merchant_039"/>
    <s v="entertainment"/>
    <s v="North"/>
    <n v="1.4999999999999999E-2"/>
    <n v="4999"/>
    <s v="Normal Merchant Day"/>
  </r>
  <r>
    <s v="TXN200012"/>
    <n v="363"/>
    <x v="1"/>
    <d v="2026-01-23T17:00:00"/>
    <n v="999"/>
    <s v="Card"/>
    <x v="2"/>
    <n v="95"/>
    <s v="Merchant_027"/>
    <s v="ecommerce"/>
    <s v="North"/>
    <n v="1.4999999999999999E-2"/>
    <n v="3998"/>
    <s v="Normal Merchant Day"/>
  </r>
  <r>
    <s v="TXN200013"/>
    <n v="364"/>
    <x v="38"/>
    <d v="2026-01-22T22:00:00"/>
    <n v="999"/>
    <s v="Card"/>
    <x v="2"/>
    <n v="73"/>
    <s v="Merchant_039"/>
    <s v="entertainment"/>
    <s v="North"/>
    <n v="1.4999999999999999E-2"/>
    <n v="9796"/>
    <s v="High-Value Merchant Day"/>
  </r>
  <r>
    <s v="TXN200014"/>
    <n v="365"/>
    <x v="5"/>
    <d v="2026-01-18T21:00:00"/>
    <n v="1999"/>
    <s v="Card"/>
    <x v="2"/>
    <n v="90"/>
    <s v="Merchant_023"/>
    <s v="travel"/>
    <s v="North"/>
    <n v="1.4999999999999999E-2"/>
    <n v="1999"/>
    <s v="Normal Merchant Day"/>
  </r>
  <r>
    <s v="TXN300000"/>
    <n v="314"/>
    <x v="22"/>
    <d v="2026-01-02T18:00:00"/>
    <n v="399"/>
    <s v="Card"/>
    <x v="1"/>
    <n v="87"/>
    <s v="Merchant_026"/>
    <s v="food_delivery"/>
    <s v="East"/>
    <n v="1.4999999999999999E-2"/>
    <n v="399"/>
    <s v="Normal Merchant Day"/>
  </r>
  <r>
    <s v="TXN300001"/>
    <n v="314"/>
    <x v="23"/>
    <d v="2026-01-02T18:01:00"/>
    <n v="299"/>
    <s v="Card"/>
    <x v="1"/>
    <n v="66"/>
    <s v="Merchant_007"/>
    <s v="food_delivery"/>
    <s v="East"/>
    <n v="1.4999999999999999E-2"/>
    <n v="3797"/>
    <s v="Normal Merchant Day"/>
  </r>
  <r>
    <s v="TXN300002"/>
    <n v="314"/>
    <x v="28"/>
    <d v="2026-01-02T18:02:00"/>
    <n v="299"/>
    <s v="Card"/>
    <x v="1"/>
    <n v="92"/>
    <s v="Merchant_017"/>
    <s v="grocery"/>
    <s v="North"/>
    <n v="1.4999999999999999E-2"/>
    <n v="299"/>
    <s v="Normal Merchant Day"/>
  </r>
  <r>
    <s v="TXN300003"/>
    <n v="314"/>
    <x v="36"/>
    <d v="2026-01-02T18:03:00"/>
    <n v="499"/>
    <s v="Card"/>
    <x v="0"/>
    <n v="74"/>
    <s v="Merchant_034"/>
    <s v="travel"/>
    <s v="South"/>
    <n v="1.4999999999999999E-2"/>
    <n v="548"/>
    <s v="Normal Merchant Day"/>
  </r>
  <r>
    <s v="TXN300004"/>
    <n v="229"/>
    <x v="24"/>
    <d v="2026-01-12T12:00:00"/>
    <n v="499"/>
    <s v="Card"/>
    <x v="1"/>
    <n v="92"/>
    <s v="Merchant_030"/>
    <s v="travel"/>
    <s v="West"/>
    <n v="1.4999999999999999E-2"/>
    <n v="499"/>
    <s v="Normal Merchant Day"/>
  </r>
  <r>
    <s v="TXN300005"/>
    <n v="229"/>
    <x v="34"/>
    <d v="2026-01-12T12:01:00"/>
    <n v="399"/>
    <s v="Card"/>
    <x v="1"/>
    <n v="61"/>
    <s v="Merchant_010"/>
    <s v="grocery"/>
    <s v="West"/>
    <n v="1.4999999999999999E-2"/>
    <n v="399"/>
    <s v="Normal Merchant Day"/>
  </r>
  <r>
    <s v="TXN300006"/>
    <n v="229"/>
    <x v="20"/>
    <d v="2026-01-12T12:02:00"/>
    <n v="299"/>
    <s v="Card"/>
    <x v="1"/>
    <n v="78"/>
    <s v="Merchant_031"/>
    <s v="bill_payment"/>
    <s v="East"/>
    <n v="1.4999999999999999E-2"/>
    <n v="598"/>
    <s v="Normal Merchant Day"/>
  </r>
  <r>
    <s v="TXN300007"/>
    <n v="229"/>
    <x v="1"/>
    <d v="2026-01-12T12:03:00"/>
    <n v="299"/>
    <s v="Card"/>
    <x v="0"/>
    <n v="67"/>
    <s v="Merchant_027"/>
    <s v="ecommerce"/>
    <s v="North"/>
    <n v="1.4999999999999999E-2"/>
    <n v="299"/>
    <s v="Normal Merchant Day"/>
  </r>
  <r>
    <s v="TXN300008"/>
    <n v="73"/>
    <x v="3"/>
    <d v="2026-01-12T09:00:00"/>
    <n v="399"/>
    <s v="Card"/>
    <x v="1"/>
    <n v="73"/>
    <s v="Merchant_022"/>
    <s v="travel"/>
    <s v="South"/>
    <n v="1.4999999999999999E-2"/>
    <n v="1697"/>
    <s v="Normal Merchant Day"/>
  </r>
  <r>
    <s v="TXN300009"/>
    <n v="73"/>
    <x v="36"/>
    <d v="2026-01-12T09:01:00"/>
    <n v="399"/>
    <s v="Card"/>
    <x v="1"/>
    <n v="82"/>
    <s v="Merchant_034"/>
    <s v="travel"/>
    <s v="South"/>
    <n v="1.4999999999999999E-2"/>
    <n v="399"/>
    <s v="Normal Merchant Day"/>
  </r>
  <r>
    <s v="TXN300010"/>
    <n v="73"/>
    <x v="20"/>
    <d v="2026-01-12T09:02:00"/>
    <n v="299"/>
    <s v="Card"/>
    <x v="1"/>
    <n v="88"/>
    <s v="Merchant_031"/>
    <s v="bill_payment"/>
    <s v="East"/>
    <n v="1.4999999999999999E-2"/>
    <n v="598"/>
    <s v="Normal Merchant Day"/>
  </r>
  <r>
    <s v="TXN300011"/>
    <n v="73"/>
    <x v="26"/>
    <d v="2026-01-12T09:03:00"/>
    <n v="399"/>
    <s v="Card"/>
    <x v="0"/>
    <n v="64"/>
    <s v="Merchant_029"/>
    <s v="ecommerce"/>
    <s v="North"/>
    <n v="1.4999999999999999E-2"/>
    <n v="399"/>
    <s v="Normal Merchant Day"/>
  </r>
  <r>
    <s v="TXN300012"/>
    <n v="154"/>
    <x v="30"/>
    <d v="2026-01-02T22:00:00"/>
    <n v="299"/>
    <s v="Card"/>
    <x v="1"/>
    <n v="81"/>
    <s v="Merchant_008"/>
    <s v="food_delivery"/>
    <s v="North"/>
    <n v="1.4999999999999999E-2"/>
    <n v="299"/>
    <s v="Normal Merchant Day"/>
  </r>
  <r>
    <s v="TXN300013"/>
    <n v="154"/>
    <x v="23"/>
    <d v="2026-01-02T22:01:00"/>
    <n v="499"/>
    <s v="Card"/>
    <x v="1"/>
    <n v="70"/>
    <s v="Merchant_007"/>
    <s v="food_delivery"/>
    <s v="East"/>
    <n v="1.4999999999999999E-2"/>
    <n v="3797"/>
    <s v="Normal Merchant Day"/>
  </r>
  <r>
    <s v="TXN300014"/>
    <n v="154"/>
    <x v="0"/>
    <d v="2026-01-02T22:02:00"/>
    <n v="499"/>
    <s v="Card"/>
    <x v="1"/>
    <n v="71"/>
    <s v="Merchant_016"/>
    <s v="bill_payment"/>
    <s v="West"/>
    <n v="1.4999999999999999E-2"/>
    <n v="499"/>
    <s v="Normal Merchant Day"/>
  </r>
  <r>
    <s v="TXN300015"/>
    <n v="154"/>
    <x v="25"/>
    <d v="2026-01-02T22:03:00"/>
    <n v="299"/>
    <s v="Card"/>
    <x v="0"/>
    <n v="81"/>
    <s v="Merchant_036"/>
    <s v="entertainment"/>
    <s v="East"/>
    <n v="1.4999999999999999E-2"/>
    <n v="299"/>
    <s v="Normal Merchant Day"/>
  </r>
  <r>
    <s v="TXN300016"/>
    <n v="287"/>
    <x v="19"/>
    <d v="2026-01-14T14:00:00"/>
    <n v="399"/>
    <s v="Card"/>
    <x v="1"/>
    <n v="71"/>
    <s v="Merchant_015"/>
    <s v="travel"/>
    <s v="North"/>
    <n v="1.4999999999999999E-2"/>
    <n v="399"/>
    <s v="Normal Merchant Day"/>
  </r>
  <r>
    <s v="TXN300017"/>
    <n v="287"/>
    <x v="9"/>
    <d v="2026-01-14T14:01:00"/>
    <n v="499"/>
    <s v="Card"/>
    <x v="1"/>
    <n v="87"/>
    <s v="Merchant_012"/>
    <s v="ecommerce"/>
    <s v="East"/>
    <n v="1.4999999999999999E-2"/>
    <n v="548"/>
    <s v="Normal Merchant Day"/>
  </r>
  <r>
    <s v="TXN300018"/>
    <n v="287"/>
    <x v="22"/>
    <d v="2026-01-14T14:02:00"/>
    <n v="299"/>
    <s v="Card"/>
    <x v="1"/>
    <n v="72"/>
    <s v="Merchant_026"/>
    <s v="food_delivery"/>
    <s v="East"/>
    <n v="1.4999999999999999E-2"/>
    <n v="299"/>
    <s v="Normal Merchant Day"/>
  </r>
  <r>
    <s v="TXN300019"/>
    <n v="287"/>
    <x v="26"/>
    <d v="2026-01-14T14:03:00"/>
    <n v="499"/>
    <s v="Card"/>
    <x v="0"/>
    <n v="87"/>
    <s v="Merchant_029"/>
    <s v="ecommerce"/>
    <s v="North"/>
    <n v="1.4999999999999999E-2"/>
    <n v="1998"/>
    <s v="Normal Merchant Day"/>
  </r>
  <r>
    <s v="TXN300020"/>
    <n v="200"/>
    <x v="16"/>
    <d v="2026-01-01T22:00:00"/>
    <n v="299"/>
    <s v="Card"/>
    <x v="1"/>
    <n v="77"/>
    <s v="Merchant_014"/>
    <s v="grocery"/>
    <s v="East"/>
    <n v="1.4999999999999999E-2"/>
    <n v="299"/>
    <s v="Normal Merchant Day"/>
  </r>
  <r>
    <s v="TXN300021"/>
    <n v="200"/>
    <x v="32"/>
    <d v="2026-01-01T22:01:00"/>
    <n v="499"/>
    <s v="Card"/>
    <x v="1"/>
    <n v="66"/>
    <s v="Merchant_005"/>
    <s v="recharge"/>
    <s v="South"/>
    <n v="1.4999999999999999E-2"/>
    <n v="499"/>
    <s v="Normal Merchant Day"/>
  </r>
  <r>
    <s v="TXN300022"/>
    <n v="200"/>
    <x v="8"/>
    <d v="2026-01-01T22:02:00"/>
    <n v="299"/>
    <s v="Card"/>
    <x v="1"/>
    <n v="83"/>
    <s v="Merchant_035"/>
    <s v="recharge"/>
    <s v="East"/>
    <n v="1.4999999999999999E-2"/>
    <n v="798"/>
    <s v="Normal Merchant Day"/>
  </r>
  <r>
    <s v="TXN300023"/>
    <n v="200"/>
    <x v="17"/>
    <d v="2026-01-01T22:03:00"/>
    <n v="299"/>
    <s v="Card"/>
    <x v="0"/>
    <n v="89"/>
    <s v="Merchant_021"/>
    <s v="food_delivery"/>
    <s v="East"/>
    <n v="1.4999999999999999E-2"/>
    <n v="5298"/>
    <s v="Normal Merchant Day"/>
  </r>
  <r>
    <s v="TXN300024"/>
    <n v="59"/>
    <x v="33"/>
    <d v="2026-01-09T21:00:00"/>
    <n v="499"/>
    <s v="Card"/>
    <x v="1"/>
    <n v="80"/>
    <s v="Merchant_032"/>
    <s v="food_delivery"/>
    <s v="West"/>
    <n v="1.4999999999999999E-2"/>
    <n v="499"/>
    <s v="Normal Merchant Day"/>
  </r>
  <r>
    <s v="TXN300025"/>
    <n v="59"/>
    <x v="38"/>
    <d v="2026-01-09T21:01:00"/>
    <n v="399"/>
    <s v="Card"/>
    <x v="1"/>
    <n v="85"/>
    <s v="Merchant_039"/>
    <s v="entertainment"/>
    <s v="North"/>
    <n v="1.4999999999999999E-2"/>
    <n v="399"/>
    <s v="Normal Merchant Day"/>
  </r>
  <r>
    <s v="TXN300026"/>
    <n v="59"/>
    <x v="35"/>
    <d v="2026-01-09T21:02:00"/>
    <n v="299"/>
    <s v="Card"/>
    <x v="1"/>
    <n v="82"/>
    <s v="Merchant_038"/>
    <s v="grocery"/>
    <s v="East"/>
    <n v="1.4999999999999999E-2"/>
    <n v="348"/>
    <s v="Normal Merchant Day"/>
  </r>
  <r>
    <s v="TXN300027"/>
    <n v="59"/>
    <x v="5"/>
    <d v="2026-01-09T21:03:00"/>
    <n v="399"/>
    <s v="Card"/>
    <x v="0"/>
    <n v="71"/>
    <s v="Merchant_023"/>
    <s v="travel"/>
    <s v="North"/>
    <n v="1.4999999999999999E-2"/>
    <n v="399"/>
    <s v="Normal Merchant Day"/>
  </r>
  <r>
    <s v="TXN300028"/>
    <n v="345"/>
    <x v="12"/>
    <d v="2026-01-23T09:00:00"/>
    <n v="499"/>
    <s v="Card"/>
    <x v="1"/>
    <n v="65"/>
    <s v="Merchant_040"/>
    <s v="entertainment"/>
    <s v="South"/>
    <n v="1.4999999999999999E-2"/>
    <n v="598"/>
    <s v="Normal Merchant Day"/>
  </r>
  <r>
    <s v="TXN300029"/>
    <n v="345"/>
    <x v="39"/>
    <d v="2026-01-23T09:01:00"/>
    <n v="399"/>
    <s v="Card"/>
    <x v="1"/>
    <n v="67"/>
    <s v="Merchant_009"/>
    <s v="ecommerce"/>
    <s v="North"/>
    <n v="1.4999999999999999E-2"/>
    <n v="898"/>
    <s v="Normal Merchant Day"/>
  </r>
  <r>
    <s v="TXN300030"/>
    <n v="345"/>
    <x v="0"/>
    <d v="2026-01-23T09:02:00"/>
    <n v="399"/>
    <s v="Card"/>
    <x v="1"/>
    <n v="67"/>
    <s v="Merchant_016"/>
    <s v="bill_payment"/>
    <s v="West"/>
    <n v="1.4999999999999999E-2"/>
    <n v="399"/>
    <s v="Normal Merchant Day"/>
  </r>
  <r>
    <s v="TXN300031"/>
    <n v="345"/>
    <x v="9"/>
    <d v="2026-01-23T09:03:00"/>
    <n v="399"/>
    <s v="Card"/>
    <x v="0"/>
    <n v="69"/>
    <s v="Merchant_012"/>
    <s v="ecommerce"/>
    <s v="East"/>
    <n v="1.4999999999999999E-2"/>
    <n v="448"/>
    <s v="Normal Merchant Da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D1BA44-7BDB-4F40-96BD-BC1DF71C5C8A}" name="PivotTable1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E446" firstHeaderRow="1" firstDataRow="1" firstDataCol="4"/>
  <pivotFields count="1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x="37"/>
        <item x="27"/>
        <item x="4"/>
        <item x="29"/>
        <item x="32"/>
        <item x="18"/>
        <item x="23"/>
        <item x="30"/>
        <item x="39"/>
        <item x="34"/>
        <item x="2"/>
        <item x="9"/>
        <item x="6"/>
        <item x="16"/>
        <item x="19"/>
        <item x="0"/>
        <item x="28"/>
        <item x="7"/>
        <item x="13"/>
        <item x="15"/>
        <item x="17"/>
        <item x="3"/>
        <item x="5"/>
        <item x="31"/>
        <item x="14"/>
        <item x="22"/>
        <item x="1"/>
        <item x="10"/>
        <item x="26"/>
        <item x="24"/>
        <item x="20"/>
        <item x="33"/>
        <item x="11"/>
        <item x="36"/>
        <item x="8"/>
        <item x="25"/>
        <item x="21"/>
        <item x="35"/>
        <item x="38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 defaultSubtotal="0">
      <items count="542">
        <item x="106"/>
        <item x="346"/>
        <item x="10"/>
        <item x="217"/>
        <item x="54"/>
        <item x="274"/>
        <item x="489"/>
        <item x="419"/>
        <item x="271"/>
        <item x="43"/>
        <item x="457"/>
        <item x="70"/>
        <item x="166"/>
        <item x="107"/>
        <item x="530"/>
        <item x="531"/>
        <item x="532"/>
        <item x="533"/>
        <item x="471"/>
        <item x="101"/>
        <item x="41"/>
        <item x="168"/>
        <item x="177"/>
        <item x="237"/>
        <item x="425"/>
        <item x="412"/>
        <item x="456"/>
        <item x="510"/>
        <item x="511"/>
        <item x="512"/>
        <item x="513"/>
        <item x="138"/>
        <item x="93"/>
        <item x="522"/>
        <item x="523"/>
        <item x="524"/>
        <item x="525"/>
        <item x="186"/>
        <item x="211"/>
        <item x="330"/>
        <item x="196"/>
        <item x="320"/>
        <item x="162"/>
        <item x="267"/>
        <item x="486"/>
        <item x="304"/>
        <item x="113"/>
        <item x="298"/>
        <item x="494"/>
        <item x="465"/>
        <item x="375"/>
        <item x="343"/>
        <item x="438"/>
        <item x="408"/>
        <item x="243"/>
        <item x="178"/>
        <item x="313"/>
        <item x="289"/>
        <item x="405"/>
        <item x="463"/>
        <item x="111"/>
        <item x="294"/>
        <item x="1"/>
        <item x="224"/>
        <item x="350"/>
        <item x="58"/>
        <item x="156"/>
        <item x="399"/>
        <item x="181"/>
        <item x="26"/>
        <item x="272"/>
        <item x="242"/>
        <item x="311"/>
        <item x="135"/>
        <item x="339"/>
        <item x="18"/>
        <item x="39"/>
        <item x="142"/>
        <item x="231"/>
        <item x="190"/>
        <item x="483"/>
        <item x="394"/>
        <item x="307"/>
        <item x="159"/>
        <item x="89"/>
        <item x="303"/>
        <item x="29"/>
        <item x="85"/>
        <item x="208"/>
        <item x="391"/>
        <item x="87"/>
        <item x="207"/>
        <item x="210"/>
        <item x="245"/>
        <item x="355"/>
        <item x="95"/>
        <item x="474"/>
        <item x="109"/>
        <item x="491"/>
        <item x="5"/>
        <item x="140"/>
        <item x="65"/>
        <item x="454"/>
        <item x="290"/>
        <item x="423"/>
        <item x="201"/>
        <item x="94"/>
        <item x="442"/>
        <item x="71"/>
        <item x="364"/>
        <item x="56"/>
        <item x="331"/>
        <item x="362"/>
        <item x="55"/>
        <item x="6"/>
        <item x="400"/>
        <item x="45"/>
        <item x="97"/>
        <item x="370"/>
        <item x="203"/>
        <item x="338"/>
        <item x="53"/>
        <item x="333"/>
        <item x="403"/>
        <item x="279"/>
        <item x="285"/>
        <item x="411"/>
        <item x="84"/>
        <item x="11"/>
        <item x="183"/>
        <item x="292"/>
        <item x="296"/>
        <item x="79"/>
        <item x="218"/>
        <item x="50"/>
        <item x="122"/>
        <item x="146"/>
        <item x="149"/>
        <item x="117"/>
        <item x="301"/>
        <item x="534"/>
        <item x="535"/>
        <item x="536"/>
        <item x="537"/>
        <item x="155"/>
        <item x="284"/>
        <item x="462"/>
        <item x="216"/>
        <item x="276"/>
        <item x="256"/>
        <item x="82"/>
        <item x="324"/>
        <item x="398"/>
        <item x="430"/>
        <item x="492"/>
        <item x="434"/>
        <item x="485"/>
        <item x="387"/>
        <item x="167"/>
        <item x="250"/>
        <item x="310"/>
        <item x="126"/>
        <item x="249"/>
        <item x="179"/>
        <item x="228"/>
        <item x="367"/>
        <item x="295"/>
        <item x="390"/>
        <item x="451"/>
        <item x="8"/>
        <item x="445"/>
        <item x="38"/>
        <item x="496"/>
        <item x="51"/>
        <item x="33"/>
        <item x="353"/>
        <item x="128"/>
        <item x="46"/>
        <item x="459"/>
        <item x="293"/>
        <item x="163"/>
        <item x="421"/>
        <item x="83"/>
        <item x="270"/>
        <item x="182"/>
        <item x="518"/>
        <item x="519"/>
        <item x="520"/>
        <item x="521"/>
        <item x="254"/>
        <item x="446"/>
        <item x="448"/>
        <item x="514"/>
        <item x="515"/>
        <item x="516"/>
        <item x="517"/>
        <item x="347"/>
        <item x="317"/>
        <item x="287"/>
        <item x="202"/>
        <item x="480"/>
        <item x="174"/>
        <item x="151"/>
        <item x="199"/>
        <item x="368"/>
        <item x="397"/>
        <item x="258"/>
        <item x="437"/>
        <item x="395"/>
        <item x="130"/>
        <item x="152"/>
        <item x="175"/>
        <item x="484"/>
        <item x="466"/>
        <item x="504"/>
        <item x="283"/>
        <item x="88"/>
        <item x="114"/>
        <item x="305"/>
        <item x="13"/>
        <item x="165"/>
        <item x="221"/>
        <item x="461"/>
        <item x="14"/>
        <item x="115"/>
        <item x="120"/>
        <item x="15"/>
        <item x="49"/>
        <item x="414"/>
        <item x="30"/>
        <item x="477"/>
        <item x="340"/>
        <item x="493"/>
        <item x="64"/>
        <item x="40"/>
        <item x="526"/>
        <item x="527"/>
        <item x="528"/>
        <item x="529"/>
        <item x="188"/>
        <item x="194"/>
        <item x="238"/>
        <item x="157"/>
        <item x="300"/>
        <item x="37"/>
        <item x="407"/>
        <item x="447"/>
        <item x="34"/>
        <item x="335"/>
        <item x="193"/>
        <item x="363"/>
        <item x="306"/>
        <item x="148"/>
        <item x="173"/>
        <item x="22"/>
        <item x="342"/>
        <item x="192"/>
        <item x="404"/>
        <item x="123"/>
        <item x="240"/>
        <item x="69"/>
        <item x="187"/>
        <item x="388"/>
        <item x="321"/>
        <item x="410"/>
        <item x="103"/>
        <item x="96"/>
        <item x="225"/>
        <item x="357"/>
        <item x="52"/>
        <item x="432"/>
        <item x="118"/>
        <item x="127"/>
        <item x="386"/>
        <item x="376"/>
        <item x="255"/>
        <item x="369"/>
        <item x="359"/>
        <item x="110"/>
        <item x="499"/>
        <item x="236"/>
        <item x="77"/>
        <item x="352"/>
        <item x="323"/>
        <item x="227"/>
        <item x="214"/>
        <item x="418"/>
        <item x="73"/>
        <item x="209"/>
        <item x="229"/>
        <item x="315"/>
        <item x="325"/>
        <item x="393"/>
        <item x="433"/>
        <item x="308"/>
        <item x="487"/>
        <item x="264"/>
        <item x="409"/>
        <item x="134"/>
        <item x="356"/>
        <item x="282"/>
        <item x="133"/>
        <item x="24"/>
        <item x="124"/>
        <item x="20"/>
        <item x="327"/>
        <item x="488"/>
        <item x="164"/>
        <item x="266"/>
        <item x="381"/>
        <item x="74"/>
        <item x="31"/>
        <item x="78"/>
        <item x="366"/>
        <item x="420"/>
        <item x="436"/>
        <item x="90"/>
        <item x="62"/>
        <item x="104"/>
        <item x="322"/>
        <item x="452"/>
        <item x="509"/>
        <item x="384"/>
        <item x="185"/>
        <item x="328"/>
        <item x="473"/>
        <item x="378"/>
        <item x="86"/>
        <item x="358"/>
        <item x="344"/>
        <item x="223"/>
        <item x="263"/>
        <item x="406"/>
        <item x="348"/>
        <item x="198"/>
        <item x="48"/>
        <item x="481"/>
        <item x="42"/>
        <item x="450"/>
        <item x="396"/>
        <item x="441"/>
        <item x="286"/>
        <item x="61"/>
        <item x="297"/>
        <item x="505"/>
        <item x="200"/>
        <item x="280"/>
        <item x="172"/>
        <item x="213"/>
        <item x="464"/>
        <item x="275"/>
        <item x="278"/>
        <item x="440"/>
        <item x="57"/>
        <item x="345"/>
        <item x="424"/>
        <item x="251"/>
        <item x="444"/>
        <item x="299"/>
        <item x="467"/>
        <item x="383"/>
        <item x="239"/>
        <item x="121"/>
        <item x="100"/>
        <item x="241"/>
        <item x="382"/>
        <item x="379"/>
        <item x="479"/>
        <item x="63"/>
        <item x="247"/>
        <item x="252"/>
        <item x="302"/>
        <item x="497"/>
        <item x="9"/>
        <item x="326"/>
        <item x="498"/>
        <item x="253"/>
        <item x="361"/>
        <item x="472"/>
        <item x="212"/>
        <item x="16"/>
        <item x="392"/>
        <item x="176"/>
        <item x="98"/>
        <item x="195"/>
        <item x="257"/>
        <item x="248"/>
        <item x="112"/>
        <item x="17"/>
        <item x="288"/>
        <item x="460"/>
        <item x="373"/>
        <item x="204"/>
        <item x="281"/>
        <item x="215"/>
        <item x="416"/>
        <item x="508"/>
        <item x="170"/>
        <item x="334"/>
        <item x="506"/>
        <item x="458"/>
        <item x="119"/>
        <item x="76"/>
        <item x="220"/>
        <item x="377"/>
        <item x="538"/>
        <item x="539"/>
        <item x="540"/>
        <item x="541"/>
        <item x="206"/>
        <item x="191"/>
        <item x="501"/>
        <item x="136"/>
        <item x="244"/>
        <item x="380"/>
        <item x="371"/>
        <item x="273"/>
        <item x="507"/>
        <item x="60"/>
        <item x="28"/>
        <item x="314"/>
        <item x="360"/>
        <item x="365"/>
        <item x="139"/>
        <item x="184"/>
        <item x="476"/>
        <item x="443"/>
        <item x="449"/>
        <item x="2"/>
        <item x="19"/>
        <item x="439"/>
        <item x="260"/>
        <item x="341"/>
        <item x="12"/>
        <item x="197"/>
        <item x="219"/>
        <item x="259"/>
        <item x="261"/>
        <item x="81"/>
        <item x="319"/>
        <item x="131"/>
        <item x="153"/>
        <item x="455"/>
        <item x="80"/>
        <item x="401"/>
        <item x="171"/>
        <item x="44"/>
        <item x="426"/>
        <item x="351"/>
        <item x="108"/>
        <item x="35"/>
        <item x="309"/>
        <item x="246"/>
        <item x="337"/>
        <item x="125"/>
        <item x="116"/>
        <item x="91"/>
        <item x="36"/>
        <item x="402"/>
        <item x="233"/>
        <item x="478"/>
        <item x="232"/>
        <item x="428"/>
        <item x="503"/>
        <item x="75"/>
        <item x="141"/>
        <item x="374"/>
        <item x="143"/>
        <item x="99"/>
        <item x="482"/>
        <item x="161"/>
        <item x="154"/>
        <item x="32"/>
        <item x="316"/>
        <item x="262"/>
        <item x="66"/>
        <item x="21"/>
        <item x="277"/>
        <item x="132"/>
        <item x="422"/>
        <item x="312"/>
        <item x="23"/>
        <item x="68"/>
        <item x="7"/>
        <item x="25"/>
        <item x="268"/>
        <item x="453"/>
        <item x="102"/>
        <item x="349"/>
        <item x="230"/>
        <item x="205"/>
        <item x="427"/>
        <item x="67"/>
        <item x="27"/>
        <item x="226"/>
        <item x="180"/>
        <item x="502"/>
        <item x="435"/>
        <item x="265"/>
        <item x="417"/>
        <item x="144"/>
        <item x="468"/>
        <item x="150"/>
        <item x="389"/>
        <item x="137"/>
        <item x="92"/>
        <item x="235"/>
        <item x="336"/>
        <item x="318"/>
        <item x="189"/>
        <item x="429"/>
        <item x="385"/>
        <item x="500"/>
        <item x="147"/>
        <item x="0"/>
        <item x="415"/>
        <item x="3"/>
        <item x="105"/>
        <item x="354"/>
        <item x="469"/>
        <item x="169"/>
        <item x="475"/>
        <item x="490"/>
        <item x="329"/>
        <item x="72"/>
        <item x="332"/>
        <item x="470"/>
        <item x="269"/>
        <item x="222"/>
        <item x="413"/>
        <item x="47"/>
        <item x="431"/>
        <item x="495"/>
        <item x="160"/>
        <item x="158"/>
        <item x="291"/>
        <item x="129"/>
        <item x="59"/>
        <item x="4"/>
        <item x="145"/>
        <item x="234"/>
        <item x="37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2"/>
    <field x="14"/>
    <field x="13"/>
    <field x="12"/>
  </rowFields>
  <rowItems count="443">
    <i>
      <x/>
      <x v="1"/>
      <x v="1"/>
      <x v="5"/>
    </i>
    <i r="3">
      <x v="6"/>
    </i>
    <i r="3">
      <x v="9"/>
    </i>
    <i r="3">
      <x v="11"/>
    </i>
    <i r="3">
      <x v="12"/>
    </i>
    <i r="3">
      <x v="17"/>
    </i>
    <i r="3">
      <x v="23"/>
    </i>
    <i>
      <x v="1"/>
      <x v="1"/>
      <x v="1"/>
      <x v="7"/>
    </i>
    <i r="3">
      <x v="8"/>
    </i>
    <i r="3">
      <x v="12"/>
    </i>
    <i r="3">
      <x v="13"/>
    </i>
    <i r="3">
      <x v="15"/>
    </i>
    <i r="3">
      <x v="19"/>
    </i>
    <i r="3">
      <x v="22"/>
    </i>
    <i r="3">
      <x v="26"/>
    </i>
    <i r="3">
      <x v="30"/>
    </i>
    <i>
      <x v="2"/>
      <x v="1"/>
      <x v="1"/>
      <x v="3"/>
    </i>
    <i r="3">
      <x v="5"/>
    </i>
    <i r="3">
      <x v="6"/>
    </i>
    <i r="3">
      <x v="7"/>
    </i>
    <i r="3">
      <x v="8"/>
    </i>
    <i r="3">
      <x v="13"/>
    </i>
    <i r="3">
      <x v="16"/>
    </i>
    <i r="3">
      <x v="20"/>
    </i>
    <i r="3">
      <x v="22"/>
    </i>
    <i r="3">
      <x v="23"/>
    </i>
    <i r="3">
      <x v="26"/>
    </i>
    <i r="3">
      <x v="29"/>
    </i>
    <i r="3">
      <x v="30"/>
    </i>
    <i>
      <x v="3"/>
      <x v="1"/>
      <x v="1"/>
      <x v="2"/>
    </i>
    <i r="3">
      <x v="12"/>
    </i>
    <i r="3">
      <x v="13"/>
    </i>
    <i r="3">
      <x v="16"/>
    </i>
    <i r="3">
      <x v="17"/>
    </i>
    <i r="3">
      <x v="24"/>
    </i>
    <i r="3">
      <x v="25"/>
    </i>
    <i>
      <x v="4"/>
      <x v="1"/>
      <x v="1"/>
      <x v="1"/>
    </i>
    <i r="3">
      <x v="3"/>
    </i>
    <i r="3">
      <x v="9"/>
    </i>
    <i r="3">
      <x v="10"/>
    </i>
    <i r="3">
      <x v="15"/>
    </i>
    <i r="3">
      <x v="17"/>
    </i>
    <i r="3">
      <x v="18"/>
    </i>
    <i r="3">
      <x v="19"/>
    </i>
    <i r="3">
      <x v="30"/>
    </i>
    <i>
      <x v="5"/>
      <x v="1"/>
      <x v="1"/>
      <x v="1"/>
    </i>
    <i r="3">
      <x v="3"/>
    </i>
    <i r="3">
      <x v="5"/>
    </i>
    <i r="3">
      <x v="8"/>
    </i>
    <i r="3">
      <x v="9"/>
    </i>
    <i r="3">
      <x v="11"/>
    </i>
    <i r="3">
      <x v="13"/>
    </i>
    <i r="3">
      <x v="15"/>
    </i>
    <i r="3">
      <x v="17"/>
    </i>
    <i r="3">
      <x v="19"/>
    </i>
    <i r="3">
      <x v="21"/>
    </i>
    <i r="3">
      <x v="26"/>
    </i>
    <i>
      <x v="6"/>
      <x v="1"/>
      <x v="1"/>
      <x v="2"/>
    </i>
    <i r="3">
      <x v="3"/>
    </i>
    <i r="3">
      <x v="5"/>
    </i>
    <i r="3">
      <x v="8"/>
    </i>
    <i r="3">
      <x v="10"/>
    </i>
    <i r="3">
      <x v="15"/>
    </i>
    <i r="3">
      <x v="17"/>
    </i>
    <i r="3">
      <x v="21"/>
    </i>
    <i r="3">
      <x v="24"/>
    </i>
    <i r="3">
      <x v="25"/>
    </i>
    <i r="3">
      <x v="30"/>
    </i>
    <i>
      <x v="7"/>
      <x v="1"/>
      <x v="1"/>
      <x v="2"/>
    </i>
    <i r="3">
      <x v="3"/>
    </i>
    <i r="3">
      <x v="6"/>
    </i>
    <i r="3">
      <x v="8"/>
    </i>
    <i r="3">
      <x v="11"/>
    </i>
    <i r="3">
      <x v="12"/>
    </i>
    <i r="3">
      <x v="16"/>
    </i>
    <i r="3">
      <x v="17"/>
    </i>
    <i r="3">
      <x v="18"/>
    </i>
    <i r="3">
      <x v="19"/>
    </i>
    <i r="3">
      <x v="26"/>
    </i>
    <i r="3">
      <x v="27"/>
    </i>
    <i r="3">
      <x v="30"/>
    </i>
    <i>
      <x v="8"/>
      <x v="1"/>
      <x v="1"/>
      <x v="1"/>
    </i>
    <i r="3">
      <x v="4"/>
    </i>
    <i r="3">
      <x v="5"/>
    </i>
    <i r="3">
      <x v="6"/>
    </i>
    <i r="3">
      <x v="9"/>
    </i>
    <i r="3">
      <x v="10"/>
    </i>
    <i r="3">
      <x v="12"/>
    </i>
    <i r="3">
      <x v="15"/>
    </i>
    <i r="3">
      <x v="17"/>
    </i>
    <i r="3">
      <x v="18"/>
    </i>
    <i r="3">
      <x v="19"/>
    </i>
    <i r="3">
      <x v="22"/>
    </i>
    <i r="3">
      <x v="23"/>
    </i>
    <i r="3">
      <x v="29"/>
    </i>
    <i>
      <x v="9"/>
      <x v="1"/>
      <x v="1"/>
      <x v="5"/>
    </i>
    <i r="3">
      <x v="8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9"/>
    </i>
    <i r="3">
      <x v="20"/>
    </i>
    <i r="3">
      <x v="21"/>
    </i>
    <i r="3">
      <x v="29"/>
    </i>
    <i>
      <x v="10"/>
      <x v="1"/>
      <x v="1"/>
      <x v="4"/>
    </i>
    <i r="3">
      <x v="6"/>
    </i>
    <i r="3">
      <x v="7"/>
    </i>
    <i r="3">
      <x v="11"/>
    </i>
    <i r="3">
      <x v="18"/>
    </i>
    <i r="3">
      <x v="20"/>
    </i>
    <i r="3">
      <x v="21"/>
    </i>
    <i r="3">
      <x v="24"/>
    </i>
    <i r="3">
      <x v="29"/>
    </i>
    <i>
      <x v="11"/>
      <x v="1"/>
      <x v="1"/>
      <x v="1"/>
    </i>
    <i r="3">
      <x v="9"/>
    </i>
    <i r="3">
      <x v="12"/>
    </i>
    <i r="3">
      <x v="14"/>
    </i>
    <i r="3">
      <x v="18"/>
    </i>
    <i r="3">
      <x v="22"/>
    </i>
    <i r="3">
      <x v="23"/>
    </i>
    <i r="3">
      <x v="27"/>
    </i>
    <i r="3">
      <x v="30"/>
    </i>
    <i>
      <x v="12"/>
      <x v="1"/>
      <x v="1"/>
      <x v="8"/>
    </i>
    <i r="3">
      <x v="9"/>
    </i>
    <i r="3">
      <x v="10"/>
    </i>
    <i r="3">
      <x v="14"/>
    </i>
    <i r="3">
      <x v="15"/>
    </i>
    <i r="3">
      <x v="20"/>
    </i>
    <i r="3">
      <x v="21"/>
    </i>
    <i r="3">
      <x v="24"/>
    </i>
    <i r="3">
      <x v="26"/>
    </i>
    <i r="3">
      <x v="27"/>
    </i>
    <i r="3">
      <x v="28"/>
    </i>
    <i>
      <x v="13"/>
      <x v="1"/>
      <x v="1"/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18"/>
    </i>
    <i r="3">
      <x v="19"/>
    </i>
    <i r="3">
      <x v="20"/>
    </i>
    <i r="3">
      <x v="25"/>
    </i>
    <i>
      <x v="14"/>
      <x v="1"/>
      <x v="1"/>
      <x v="1"/>
    </i>
    <i r="3">
      <x v="7"/>
    </i>
    <i r="3">
      <x v="10"/>
    </i>
    <i r="3">
      <x v="13"/>
    </i>
    <i r="3">
      <x v="14"/>
    </i>
    <i r="3">
      <x v="19"/>
    </i>
    <i r="3">
      <x v="24"/>
    </i>
    <i r="3">
      <x v="26"/>
    </i>
    <i r="3">
      <x v="27"/>
    </i>
    <i r="3">
      <x v="29"/>
    </i>
    <i>
      <x v="15"/>
      <x v="1"/>
      <x v="1"/>
      <x v="2"/>
    </i>
    <i r="3">
      <x v="3"/>
    </i>
    <i r="3">
      <x v="4"/>
    </i>
    <i r="3">
      <x v="5"/>
    </i>
    <i r="3">
      <x v="11"/>
    </i>
    <i r="3">
      <x v="15"/>
    </i>
    <i r="3">
      <x v="18"/>
    </i>
    <i r="3">
      <x v="20"/>
    </i>
    <i r="3">
      <x v="23"/>
    </i>
    <i r="3">
      <x v="24"/>
    </i>
    <i r="3">
      <x v="25"/>
    </i>
    <i r="3">
      <x v="27"/>
    </i>
    <i r="3">
      <x v="28"/>
    </i>
    <i r="3">
      <x v="29"/>
    </i>
    <i r="3">
      <x v="30"/>
    </i>
    <i>
      <x v="16"/>
      <x v="1"/>
      <x v="1"/>
      <x v="1"/>
    </i>
    <i r="3">
      <x v="2"/>
    </i>
    <i r="3">
      <x v="3"/>
    </i>
    <i r="3">
      <x v="11"/>
    </i>
    <i r="3">
      <x v="12"/>
    </i>
    <i r="3">
      <x v="17"/>
    </i>
    <i r="3">
      <x v="18"/>
    </i>
    <i r="3">
      <x v="19"/>
    </i>
    <i r="3">
      <x v="28"/>
    </i>
    <i r="3">
      <x v="30"/>
    </i>
    <i>
      <x v="17"/>
      <x v="1"/>
      <x v="1"/>
      <x v="6"/>
    </i>
    <i r="3">
      <x v="11"/>
    </i>
    <i r="3">
      <x v="12"/>
    </i>
    <i r="3">
      <x v="14"/>
    </i>
    <i r="3">
      <x v="15"/>
    </i>
    <i r="3">
      <x v="16"/>
    </i>
    <i r="3">
      <x v="18"/>
    </i>
    <i r="3">
      <x v="20"/>
    </i>
    <i r="3">
      <x v="25"/>
    </i>
    <i>
      <x v="18"/>
      <x v="1"/>
      <x v="1"/>
      <x v="2"/>
    </i>
    <i r="3">
      <x v="6"/>
    </i>
    <i r="3">
      <x v="9"/>
    </i>
    <i r="3">
      <x v="10"/>
    </i>
    <i r="3">
      <x v="15"/>
    </i>
    <i r="3">
      <x v="16"/>
    </i>
    <i r="3">
      <x v="19"/>
    </i>
    <i r="3">
      <x v="20"/>
    </i>
    <i r="3">
      <x v="22"/>
    </i>
    <i r="3">
      <x v="24"/>
    </i>
    <i r="3">
      <x v="25"/>
    </i>
    <i r="3">
      <x v="26"/>
    </i>
    <i>
      <x v="19"/>
      <x v="1"/>
      <x v="1"/>
      <x v="2"/>
    </i>
    <i r="3">
      <x v="3"/>
    </i>
    <i r="3">
      <x v="4"/>
    </i>
    <i r="3">
      <x v="10"/>
    </i>
    <i r="3">
      <x v="21"/>
    </i>
    <i r="3">
      <x v="23"/>
    </i>
    <i r="3">
      <x v="24"/>
    </i>
    <i r="3">
      <x v="29"/>
    </i>
    <i>
      <x v="20"/>
      <x v="1"/>
      <x v="1"/>
      <x v="1"/>
    </i>
    <i r="3">
      <x v="5"/>
    </i>
    <i r="3">
      <x v="9"/>
    </i>
    <i r="3">
      <x v="14"/>
    </i>
    <i r="3">
      <x v="15"/>
    </i>
    <i r="3">
      <x v="16"/>
    </i>
    <i r="3">
      <x v="18"/>
    </i>
    <i r="3">
      <x v="19"/>
    </i>
    <i r="3">
      <x v="20"/>
    </i>
    <i r="3">
      <x v="21"/>
    </i>
    <i r="3">
      <x v="25"/>
    </i>
    <i r="3">
      <x v="26"/>
    </i>
    <i r="3">
      <x v="27"/>
    </i>
    <i>
      <x v="21"/>
      <x v="1"/>
      <x v="1"/>
      <x v="1"/>
    </i>
    <i r="3">
      <x v="5"/>
    </i>
    <i r="3">
      <x v="7"/>
    </i>
    <i r="3">
      <x v="10"/>
    </i>
    <i r="3">
      <x v="11"/>
    </i>
    <i r="3">
      <x v="12"/>
    </i>
    <i r="3">
      <x v="13"/>
    </i>
    <i r="3">
      <x v="14"/>
    </i>
    <i r="3">
      <x v="17"/>
    </i>
    <i r="3">
      <x v="23"/>
    </i>
    <i r="3">
      <x v="29"/>
    </i>
    <i>
      <x v="22"/>
      <x v="1"/>
      <x v="1"/>
      <x v="8"/>
    </i>
    <i r="3">
      <x v="9"/>
    </i>
    <i r="3">
      <x v="12"/>
    </i>
    <i r="3">
      <x v="17"/>
    </i>
    <i r="3">
      <x v="18"/>
    </i>
    <i r="3">
      <x v="22"/>
    </i>
    <i r="3">
      <x v="23"/>
    </i>
    <i r="3">
      <x v="26"/>
    </i>
    <i>
      <x v="23"/>
      <x v="1"/>
      <x v="1"/>
      <x v="3"/>
    </i>
    <i r="3">
      <x v="4"/>
    </i>
    <i r="3">
      <x v="7"/>
    </i>
    <i r="3">
      <x v="11"/>
    </i>
    <i r="3">
      <x v="12"/>
    </i>
    <i r="3">
      <x v="14"/>
    </i>
    <i r="3">
      <x v="20"/>
    </i>
    <i r="3">
      <x v="21"/>
    </i>
    <i r="3">
      <x v="22"/>
    </i>
    <i r="3">
      <x v="24"/>
    </i>
    <i r="3">
      <x v="26"/>
    </i>
    <i>
      <x v="24"/>
      <x v="1"/>
      <x v="1"/>
      <x v="2"/>
    </i>
    <i r="3">
      <x v="5"/>
    </i>
    <i r="3">
      <x v="6"/>
    </i>
    <i r="3">
      <x v="11"/>
    </i>
    <i r="3">
      <x v="13"/>
    </i>
    <i r="3">
      <x v="15"/>
    </i>
    <i r="3">
      <x v="16"/>
    </i>
    <i r="3">
      <x v="19"/>
    </i>
    <i r="3">
      <x v="24"/>
    </i>
    <i r="3">
      <x v="28"/>
    </i>
    <i r="3">
      <x v="29"/>
    </i>
    <i>
      <x v="25"/>
      <x v="1"/>
      <x v="1"/>
      <x v="2"/>
    </i>
    <i r="3">
      <x v="3"/>
    </i>
    <i r="3">
      <x v="6"/>
    </i>
    <i r="3">
      <x v="10"/>
    </i>
    <i r="3">
      <x v="12"/>
    </i>
    <i r="3">
      <x v="14"/>
    </i>
    <i r="3">
      <x v="22"/>
    </i>
    <i r="3">
      <x v="23"/>
    </i>
    <i r="3">
      <x v="28"/>
    </i>
    <i r="3">
      <x v="29"/>
    </i>
    <i r="3">
      <x v="30"/>
    </i>
    <i>
      <x v="26"/>
      <x v="1"/>
      <x v="1"/>
      <x v="1"/>
    </i>
    <i r="3">
      <x v="4"/>
    </i>
    <i r="3">
      <x v="10"/>
    </i>
    <i r="3">
      <x v="12"/>
    </i>
    <i r="3">
      <x v="14"/>
    </i>
    <i r="3">
      <x v="15"/>
    </i>
    <i r="3">
      <x v="17"/>
    </i>
    <i r="3">
      <x v="19"/>
    </i>
    <i r="3">
      <x v="20"/>
    </i>
    <i r="3">
      <x v="21"/>
    </i>
    <i r="3">
      <x v="22"/>
    </i>
    <i r="3">
      <x v="23"/>
    </i>
    <i r="3">
      <x v="24"/>
    </i>
    <i>
      <x v="27"/>
      <x v="1"/>
      <x v="1"/>
      <x v="8"/>
    </i>
    <i r="3">
      <x v="9"/>
    </i>
    <i r="3">
      <x v="10"/>
    </i>
    <i r="3">
      <x v="11"/>
    </i>
    <i r="3">
      <x v="14"/>
    </i>
    <i r="3">
      <x v="15"/>
    </i>
    <i r="3">
      <x v="16"/>
    </i>
    <i r="3">
      <x v="21"/>
    </i>
    <i r="3">
      <x v="22"/>
    </i>
    <i r="3">
      <x v="30"/>
    </i>
    <i>
      <x v="28"/>
      <x v="1"/>
      <x v="1"/>
      <x v="4"/>
    </i>
    <i r="3">
      <x v="5"/>
    </i>
    <i r="3">
      <x v="8"/>
    </i>
    <i r="3">
      <x v="9"/>
    </i>
    <i r="3">
      <x v="12"/>
    </i>
    <i r="3">
      <x v="14"/>
    </i>
    <i r="3">
      <x v="15"/>
    </i>
    <i r="3">
      <x v="17"/>
    </i>
    <i r="3">
      <x v="19"/>
    </i>
    <i r="3">
      <x v="20"/>
    </i>
    <i r="3">
      <x v="25"/>
    </i>
    <i r="3">
      <x v="27"/>
    </i>
    <i r="3">
      <x v="28"/>
    </i>
    <i>
      <x v="29"/>
      <x v="1"/>
      <x v="1"/>
      <x v="3"/>
    </i>
    <i r="3">
      <x v="8"/>
    </i>
    <i r="3">
      <x v="9"/>
    </i>
    <i r="3">
      <x v="12"/>
    </i>
    <i r="3">
      <x v="13"/>
    </i>
    <i r="3">
      <x v="14"/>
    </i>
    <i r="3">
      <x v="15"/>
    </i>
    <i r="3">
      <x v="17"/>
    </i>
    <i r="3">
      <x v="18"/>
    </i>
    <i r="3">
      <x v="26"/>
    </i>
    <i r="3">
      <x v="28"/>
    </i>
    <i r="3">
      <x v="29"/>
    </i>
    <i r="3">
      <x v="30"/>
    </i>
    <i>
      <x v="30"/>
      <x v="1"/>
      <x v="1"/>
      <x v="5"/>
    </i>
    <i r="3">
      <x v="7"/>
    </i>
    <i r="3">
      <x v="9"/>
    </i>
    <i r="3">
      <x v="10"/>
    </i>
    <i r="3">
      <x v="12"/>
    </i>
    <i r="3">
      <x v="13"/>
    </i>
    <i r="3">
      <x v="14"/>
    </i>
    <i r="3">
      <x v="15"/>
    </i>
    <i r="3">
      <x v="16"/>
    </i>
    <i r="3">
      <x v="18"/>
    </i>
    <i r="3">
      <x v="21"/>
    </i>
    <i r="3">
      <x v="22"/>
    </i>
    <i r="3">
      <x v="28"/>
    </i>
    <i r="3">
      <x v="29"/>
    </i>
    <i>
      <x v="31"/>
      <x v="1"/>
      <x v="1"/>
      <x v="3"/>
    </i>
    <i r="3">
      <x v="4"/>
    </i>
    <i r="3">
      <x v="6"/>
    </i>
    <i r="3">
      <x v="9"/>
    </i>
    <i r="3">
      <x v="13"/>
    </i>
    <i r="3">
      <x v="15"/>
    </i>
    <i r="3">
      <x v="18"/>
    </i>
    <i r="3">
      <x v="21"/>
    </i>
    <i r="3">
      <x v="24"/>
    </i>
    <i r="3">
      <x v="25"/>
    </i>
    <i r="3">
      <x v="27"/>
    </i>
    <i r="3">
      <x v="28"/>
    </i>
    <i>
      <x v="32"/>
      <x v="1"/>
      <x v="1"/>
      <x v="3"/>
    </i>
    <i r="3">
      <x v="4"/>
    </i>
    <i r="3">
      <x v="12"/>
    </i>
    <i r="3">
      <x v="15"/>
    </i>
    <i r="3">
      <x v="20"/>
    </i>
    <i r="3">
      <x v="21"/>
    </i>
    <i r="3">
      <x v="22"/>
    </i>
    <i r="3">
      <x v="23"/>
    </i>
    <i r="3">
      <x v="24"/>
    </i>
    <i r="3">
      <x v="25"/>
    </i>
    <i>
      <x v="33"/>
      <x v="1"/>
      <x v="1"/>
      <x v="2"/>
    </i>
    <i r="3">
      <x v="5"/>
    </i>
    <i r="3">
      <x v="9"/>
    </i>
    <i r="3">
      <x v="10"/>
    </i>
    <i r="3">
      <x v="12"/>
    </i>
    <i r="3">
      <x v="17"/>
    </i>
    <i r="3">
      <x v="18"/>
    </i>
    <i r="3">
      <x v="19"/>
    </i>
    <i r="3">
      <x v="21"/>
    </i>
    <i r="3">
      <x v="22"/>
    </i>
    <i r="3">
      <x v="23"/>
    </i>
    <i r="3">
      <x v="24"/>
    </i>
    <i>
      <x v="34"/>
      <x v="1"/>
      <x v="1"/>
      <x v="1"/>
    </i>
    <i r="3">
      <x v="2"/>
    </i>
    <i r="3">
      <x v="11"/>
    </i>
    <i r="3">
      <x v="12"/>
    </i>
    <i r="3">
      <x v="13"/>
    </i>
    <i r="3">
      <x v="21"/>
    </i>
    <i r="3">
      <x v="22"/>
    </i>
    <i r="3">
      <x v="24"/>
    </i>
    <i r="3">
      <x v="26"/>
    </i>
    <i r="3">
      <x v="28"/>
    </i>
    <i r="3">
      <x v="30"/>
    </i>
    <i>
      <x v="35"/>
      <x v="1"/>
      <x v="1"/>
      <x v="1"/>
    </i>
    <i r="3">
      <x v="2"/>
    </i>
    <i r="3">
      <x v="3"/>
    </i>
    <i r="3">
      <x v="4"/>
    </i>
    <i r="3">
      <x v="16"/>
    </i>
    <i r="3">
      <x v="17"/>
    </i>
    <i r="3">
      <x v="19"/>
    </i>
    <i r="3">
      <x v="20"/>
    </i>
    <i r="3">
      <x v="24"/>
    </i>
    <i r="3">
      <x v="26"/>
    </i>
    <i r="3">
      <x v="28"/>
    </i>
    <i r="3">
      <x v="29"/>
    </i>
    <i>
      <x v="36"/>
      <x v="1"/>
      <x v="1"/>
      <x v="1"/>
    </i>
    <i r="3">
      <x v="2"/>
    </i>
    <i r="3">
      <x v="3"/>
    </i>
    <i r="3">
      <x v="4"/>
    </i>
    <i r="3">
      <x v="5"/>
    </i>
    <i r="3">
      <x v="6"/>
    </i>
    <i r="3">
      <x v="12"/>
    </i>
    <i r="3">
      <x v="16"/>
    </i>
    <i r="3">
      <x v="17"/>
    </i>
    <i r="3">
      <x v="20"/>
    </i>
    <i r="3">
      <x v="21"/>
    </i>
    <i r="3">
      <x v="23"/>
    </i>
    <i r="3">
      <x v="27"/>
    </i>
    <i r="3">
      <x v="28"/>
    </i>
    <i r="3">
      <x v="29"/>
    </i>
    <i r="3">
      <x v="30"/>
    </i>
    <i>
      <x v="37"/>
      <x v="1"/>
      <x v="1"/>
      <x v="5"/>
    </i>
    <i r="3">
      <x v="6"/>
    </i>
    <i r="3">
      <x v="9"/>
    </i>
    <i r="3">
      <x v="10"/>
    </i>
    <i r="3">
      <x v="15"/>
    </i>
    <i r="3">
      <x v="22"/>
    </i>
    <i r="3">
      <x v="23"/>
    </i>
    <i r="3">
      <x v="28"/>
    </i>
    <i>
      <x v="38"/>
      <x v="1"/>
      <x v="1"/>
      <x v="2"/>
    </i>
    <i r="3">
      <x v="5"/>
    </i>
    <i r="3">
      <x v="9"/>
    </i>
    <i r="3">
      <x v="10"/>
    </i>
    <i r="3">
      <x v="16"/>
    </i>
    <i r="3">
      <x v="17"/>
    </i>
    <i r="3">
      <x v="18"/>
    </i>
    <i r="3">
      <x v="22"/>
    </i>
    <i r="3">
      <x v="23"/>
    </i>
    <i r="3">
      <x v="29"/>
    </i>
    <i>
      <x v="39"/>
      <x v="1"/>
      <x v="1"/>
      <x v="1"/>
    </i>
    <i r="3">
      <x v="3"/>
    </i>
    <i r="3">
      <x v="8"/>
    </i>
    <i r="3">
      <x v="11"/>
    </i>
    <i r="3">
      <x v="12"/>
    </i>
    <i r="3">
      <x v="13"/>
    </i>
    <i r="3">
      <x v="14"/>
    </i>
    <i r="3">
      <x v="15"/>
    </i>
    <i r="3">
      <x v="18"/>
    </i>
    <i r="3">
      <x v="19"/>
    </i>
    <i r="3">
      <x v="23"/>
    </i>
    <i r="3">
      <x v="29"/>
    </i>
    <i r="3">
      <x v="30"/>
    </i>
  </rowItems>
  <colItems count="1">
    <i/>
  </colItems>
  <dataFields count="1">
    <dataField name="Sum of amount_inr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31E0C1-8674-4129-AD2B-CFB06C459A3B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I46" firstHeaderRow="1" firstDataRow="3" firstDataCol="1"/>
  <pivotFields count="14">
    <pivotField dataField="1" compact="0" outline="0" showAll="0" defaultSubtotal="0"/>
    <pivotField compact="0" outline="0" showAll="0" defaultSubtotal="0"/>
    <pivotField axis="axisRow" compact="0" outline="0" showAll="0" defaultSubtotal="0">
      <items count="40">
        <item x="37"/>
        <item x="27"/>
        <item x="4"/>
        <item x="29"/>
        <item x="32"/>
        <item x="18"/>
        <item x="23"/>
        <item x="30"/>
        <item x="39"/>
        <item x="34"/>
        <item x="2"/>
        <item x="9"/>
        <item x="6"/>
        <item x="16"/>
        <item x="19"/>
        <item x="0"/>
        <item x="28"/>
        <item x="7"/>
        <item x="13"/>
        <item x="15"/>
        <item x="17"/>
        <item x="3"/>
        <item x="5"/>
        <item x="31"/>
        <item x="14"/>
        <item x="22"/>
        <item x="1"/>
        <item x="10"/>
        <item x="26"/>
        <item x="24"/>
        <item x="20"/>
        <item x="33"/>
        <item x="11"/>
        <item x="36"/>
        <item x="8"/>
        <item x="25"/>
        <item x="21"/>
        <item x="35"/>
        <item x="38"/>
        <item x="12"/>
      </items>
    </pivotField>
    <pivotField compact="0" numFmtId="22" outline="0" showAll="0" defaultSubtotal="0"/>
    <pivotField dataField="1" compact="0" outline="0" showAll="0" defaultSubtotal="0"/>
    <pivotField compact="0" outline="0" showAll="0" defaultSubtotal="0"/>
    <pivotField axis="axisCol" compact="0" outline="0" showAll="0" defaultSubtotal="0">
      <items count="3">
        <item x="0"/>
        <item x="2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0" outline="0" showAll="0" defaultSubtotal="0"/>
    <pivotField compact="0" outline="0" showAll="0" defaultSubtotal="0"/>
    <pivotField compact="0" outline="0" showAll="0" defaultSubtotal="0"/>
  </pivotFields>
  <rowFields count="1">
    <field x="2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2">
    <field x="6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Count of transaction_id" fld="0" subtotal="count" baseField="0" baseItem="0"/>
    <dataField name="Sum of amount_inr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7E59E1-51E8-49E3-9074-21F50A18C9F2}" name="PivotTable5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4" firstHeaderRow="0" firstDataRow="1" firstDataCol="1"/>
  <pivotFields count="3">
    <pivotField axis="axisRow" allDrilled="1" subtotalTop="0" showAll="0" dataSourceSort="1" defaultSubtotal="0" defaultAttributeDrillState="1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ransaction_id" fld="1" subtotal="count" baseField="0" baseItem="0"/>
    <dataField name="Distinct Count of transaction_date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Distinct Count of transaction_date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ransactions_View!$A$1:$O$548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89799-C4F1-4FEF-AE5A-00DD824D60F5}">
  <dimension ref="A1:O548"/>
  <sheetViews>
    <sheetView workbookViewId="0"/>
  </sheetViews>
  <sheetFormatPr defaultRowHeight="14.4" x14ac:dyDescent="0.3"/>
  <cols>
    <col min="1" max="1" width="14.5546875" customWidth="1"/>
    <col min="3" max="3" width="12" customWidth="1"/>
    <col min="4" max="4" width="17.21875" customWidth="1"/>
    <col min="5" max="5" width="13.33203125" customWidth="1"/>
    <col min="6" max="6" width="12" customWidth="1"/>
    <col min="9" max="9" width="14.5546875" customWidth="1"/>
    <col min="10" max="10" width="17.44140625" customWidth="1"/>
    <col min="11" max="11" width="9.88671875" customWidth="1"/>
    <col min="12" max="12" width="14.6640625" style="2" customWidth="1"/>
    <col min="13" max="13" width="19.6640625" customWidth="1"/>
    <col min="14" max="14" width="23.44140625" customWidth="1"/>
    <col min="15" max="15" width="21.77734375" style="7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562</v>
      </c>
      <c r="J1" t="s">
        <v>563</v>
      </c>
      <c r="K1" t="s">
        <v>564</v>
      </c>
      <c r="L1" s="2" t="s">
        <v>617</v>
      </c>
      <c r="M1" t="s">
        <v>654</v>
      </c>
      <c r="N1" t="s">
        <v>658</v>
      </c>
      <c r="O1" s="7" t="s">
        <v>663</v>
      </c>
    </row>
    <row r="2" spans="1:15" x14ac:dyDescent="0.3">
      <c r="A2" t="s">
        <v>8</v>
      </c>
      <c r="B2">
        <v>350</v>
      </c>
      <c r="C2">
        <v>16</v>
      </c>
      <c r="D2" s="1">
        <v>46051.467361111114</v>
      </c>
      <c r="E2">
        <v>2999</v>
      </c>
      <c r="F2" t="s">
        <v>9</v>
      </c>
      <c r="G2" t="s">
        <v>10</v>
      </c>
      <c r="H2">
        <v>85</v>
      </c>
      <c r="I2" t="str">
        <f>IFERROR(VLOOKUP(C2,Merchants!$A$2:$D$41,2,FALSE),"Merchant not found")</f>
        <v>Merchant_016</v>
      </c>
      <c r="J2" t="str">
        <f>IFERROR(VLOOKUP(C2,Merchants!$A$2:$D$41,3,FALSE),"Merchant not found")</f>
        <v>bill_payment</v>
      </c>
      <c r="K2" t="str">
        <f>IFERROR(VLOOKUP(C2,Merchants!$A$2:$D$41,4,FALSE), "Merchant Not Fount")</f>
        <v>West</v>
      </c>
      <c r="L2" s="2">
        <f>HLOOKUP(F2,HLOOKUP_Reference!$A$1:$E$2,2,FALSE)</f>
        <v>6.4999999999999997E-3</v>
      </c>
      <c r="M2">
        <f>SUMIFS(Daily_Merchant_Pivot!$E:$E,Daily_Merchant_Pivot!$A:$A,C2,Daily_Merchant_Pivot!$D:$D,INT(D2))</f>
        <v>2999</v>
      </c>
      <c r="N2" t="str">
        <f>IF(AND(M2&gt;5000,K2&lt;&gt;"East"),"High-Value Merchant Day","Normal Merchant Day")</f>
        <v>Normal Merchant Day</v>
      </c>
      <c r="O2" s="7">
        <f>INT(D2)</f>
        <v>46051</v>
      </c>
    </row>
    <row r="3" spans="1:15" x14ac:dyDescent="0.3">
      <c r="A3" t="s">
        <v>11</v>
      </c>
      <c r="B3">
        <v>287</v>
      </c>
      <c r="C3">
        <v>27</v>
      </c>
      <c r="D3" s="1">
        <v>46026.492361111108</v>
      </c>
      <c r="E3">
        <v>49</v>
      </c>
      <c r="F3" t="s">
        <v>12</v>
      </c>
      <c r="G3" t="s">
        <v>10</v>
      </c>
      <c r="H3">
        <v>79</v>
      </c>
      <c r="I3" t="str">
        <f>IFERROR(VLOOKUP(C3,Merchants!$A$2:$D$41,2,FALSE),"Merchant not found")</f>
        <v>Merchant_027</v>
      </c>
      <c r="J3" t="str">
        <f>IFERROR(VLOOKUP(C3,Merchants!$A$2:$D$41,3,FALSE),"Merchant not found")</f>
        <v>ecommerce</v>
      </c>
      <c r="K3" t="str">
        <f>IFERROR(VLOOKUP(C3,Merchants!$A$2:$D$41,4,FALSE), "Merchant Not Fount")</f>
        <v>North</v>
      </c>
      <c r="L3" s="2">
        <f>HLOOKUP(F3,HLOOKUP_Reference!$A$1:$E$2,2,FALSE)</f>
        <v>2E-3</v>
      </c>
      <c r="M3">
        <f>SUMIFS(Daily_Merchant_Pivot!$E:$E,Daily_Merchant_Pivot!$A:$A,C3,Daily_Merchant_Pivot!$D:$D,INT(D3))</f>
        <v>49</v>
      </c>
      <c r="N3" t="str">
        <f t="shared" ref="N3:N66" si="0">IF(AND(M3&gt;5000,K3&lt;&gt;"East"),"High-Value Merchant Day","Normal Merchant Day")</f>
        <v>Normal Merchant Day</v>
      </c>
      <c r="O3" s="7">
        <f t="shared" ref="O3:O66" si="1">INT(D3)</f>
        <v>46026</v>
      </c>
    </row>
    <row r="4" spans="1:15" x14ac:dyDescent="0.3">
      <c r="A4" t="s">
        <v>13</v>
      </c>
      <c r="B4">
        <v>122</v>
      </c>
      <c r="C4">
        <v>11</v>
      </c>
      <c r="D4" s="1">
        <v>46046.207638888889</v>
      </c>
      <c r="E4">
        <v>1499</v>
      </c>
      <c r="F4" t="s">
        <v>9</v>
      </c>
      <c r="G4" t="s">
        <v>10</v>
      </c>
      <c r="H4">
        <v>22</v>
      </c>
      <c r="I4" t="str">
        <f>IFERROR(VLOOKUP(C4,Merchants!$A$2:$D$41,2,FALSE),"Merchant not found")</f>
        <v>Merchant_011</v>
      </c>
      <c r="J4" t="str">
        <f>IFERROR(VLOOKUP(C4,Merchants!$A$2:$D$41,3,FALSE),"Merchant not found")</f>
        <v>ecommerce</v>
      </c>
      <c r="K4" t="str">
        <f>IFERROR(VLOOKUP(C4,Merchants!$A$2:$D$41,4,FALSE), "Merchant Not Fount")</f>
        <v>North</v>
      </c>
      <c r="L4" s="2">
        <f>HLOOKUP(F4,HLOOKUP_Reference!$A$1:$E$2,2,FALSE)</f>
        <v>6.4999999999999997E-3</v>
      </c>
      <c r="M4">
        <f>SUMIFS(Daily_Merchant_Pivot!$E:$E,Daily_Merchant_Pivot!$A:$A,C4,Daily_Merchant_Pivot!$D:$D,INT(D4))</f>
        <v>1798</v>
      </c>
      <c r="N4" t="str">
        <f t="shared" si="0"/>
        <v>Normal Merchant Day</v>
      </c>
      <c r="O4" s="7">
        <f t="shared" si="1"/>
        <v>46046</v>
      </c>
    </row>
    <row r="5" spans="1:15" x14ac:dyDescent="0.3">
      <c r="A5" t="s">
        <v>14</v>
      </c>
      <c r="B5">
        <v>92</v>
      </c>
      <c r="C5">
        <v>22</v>
      </c>
      <c r="D5" s="1">
        <v>46051.542361111111</v>
      </c>
      <c r="E5">
        <v>49</v>
      </c>
      <c r="F5" t="s">
        <v>15</v>
      </c>
      <c r="G5" t="s">
        <v>10</v>
      </c>
      <c r="H5">
        <v>100</v>
      </c>
      <c r="I5" t="str">
        <f>IFERROR(VLOOKUP(C5,Merchants!$A$2:$D$41,2,FALSE),"Merchant not found")</f>
        <v>Merchant_022</v>
      </c>
      <c r="J5" t="str">
        <f>IFERROR(VLOOKUP(C5,Merchants!$A$2:$D$41,3,FALSE),"Merchant not found")</f>
        <v>travel</v>
      </c>
      <c r="K5" t="str">
        <f>IFERROR(VLOOKUP(C5,Merchants!$A$2:$D$41,4,FALSE), "Merchant Not Fount")</f>
        <v>South</v>
      </c>
      <c r="L5" s="2">
        <f>HLOOKUP(F5,HLOOKUP_Reference!$A$1:$E$2,2,FALSE)</f>
        <v>0.01</v>
      </c>
      <c r="M5">
        <f>SUMIFS(Daily_Merchant_Pivot!$E:$E,Daily_Merchant_Pivot!$A:$A,C5,Daily_Merchant_Pivot!$D:$D,INT(D5))</f>
        <v>49</v>
      </c>
      <c r="N5" t="str">
        <f t="shared" si="0"/>
        <v>Normal Merchant Day</v>
      </c>
      <c r="O5" s="7">
        <f t="shared" si="1"/>
        <v>46051</v>
      </c>
    </row>
    <row r="6" spans="1:15" x14ac:dyDescent="0.3">
      <c r="A6" t="s">
        <v>16</v>
      </c>
      <c r="B6">
        <v>343</v>
      </c>
      <c r="C6">
        <v>16</v>
      </c>
      <c r="D6" s="1">
        <v>46052.57708333333</v>
      </c>
      <c r="E6">
        <v>99</v>
      </c>
      <c r="F6" t="s">
        <v>12</v>
      </c>
      <c r="G6" t="s">
        <v>10</v>
      </c>
      <c r="H6">
        <v>34</v>
      </c>
      <c r="I6" t="str">
        <f>IFERROR(VLOOKUP(C6,Merchants!$A$2:$D$41,2,FALSE),"Merchant not found")</f>
        <v>Merchant_016</v>
      </c>
      <c r="J6" t="str">
        <f>IFERROR(VLOOKUP(C6,Merchants!$A$2:$D$41,3,FALSE),"Merchant not found")</f>
        <v>bill_payment</v>
      </c>
      <c r="K6" t="str">
        <f>IFERROR(VLOOKUP(C6,Merchants!$A$2:$D$41,4,FALSE), "Merchant Not Fount")</f>
        <v>West</v>
      </c>
      <c r="L6" s="2">
        <f>HLOOKUP(F6,HLOOKUP_Reference!$A$1:$E$2,2,FALSE)</f>
        <v>2E-3</v>
      </c>
      <c r="M6">
        <f>SUMIFS(Daily_Merchant_Pivot!$E:$E,Daily_Merchant_Pivot!$A:$A,C6,Daily_Merchant_Pivot!$D:$D,INT(D6))</f>
        <v>898</v>
      </c>
      <c r="N6" t="str">
        <f t="shared" si="0"/>
        <v>Normal Merchant Day</v>
      </c>
      <c r="O6" s="7">
        <f t="shared" si="1"/>
        <v>46052</v>
      </c>
    </row>
    <row r="7" spans="1:15" x14ac:dyDescent="0.3">
      <c r="A7" t="s">
        <v>17</v>
      </c>
      <c r="B7">
        <v>196</v>
      </c>
      <c r="C7">
        <v>3</v>
      </c>
      <c r="D7" s="1">
        <v>46028.92083333333</v>
      </c>
      <c r="E7">
        <v>99</v>
      </c>
      <c r="F7" t="s">
        <v>12</v>
      </c>
      <c r="G7" t="s">
        <v>10</v>
      </c>
      <c r="H7">
        <v>60</v>
      </c>
      <c r="I7" t="str">
        <f>IFERROR(VLOOKUP(C7,Merchants!$A$2:$D$41,2,FALSE),"Merchant not found")</f>
        <v>Merchant_003</v>
      </c>
      <c r="J7" t="str">
        <f>IFERROR(VLOOKUP(C7,Merchants!$A$2:$D$41,3,FALSE),"Merchant not found")</f>
        <v>grocery</v>
      </c>
      <c r="K7" t="str">
        <f>IFERROR(VLOOKUP(C7,Merchants!$A$2:$D$41,4,FALSE), "Merchant Not Fount")</f>
        <v>East</v>
      </c>
      <c r="L7" s="2">
        <f>HLOOKUP(F7,HLOOKUP_Reference!$A$1:$E$2,2,FALSE)</f>
        <v>2E-3</v>
      </c>
      <c r="M7">
        <f>SUMIFS(Daily_Merchant_Pivot!$E:$E,Daily_Merchant_Pivot!$A:$A,C7,Daily_Merchant_Pivot!$D:$D,INT(D7))</f>
        <v>898</v>
      </c>
      <c r="N7" t="str">
        <f t="shared" si="0"/>
        <v>Normal Merchant Day</v>
      </c>
      <c r="O7" s="7">
        <f t="shared" si="1"/>
        <v>46028</v>
      </c>
    </row>
    <row r="8" spans="1:15" x14ac:dyDescent="0.3">
      <c r="A8" t="s">
        <v>18</v>
      </c>
      <c r="B8">
        <v>236</v>
      </c>
      <c r="C8">
        <v>23</v>
      </c>
      <c r="D8" s="1">
        <v>46030.286111111112</v>
      </c>
      <c r="E8">
        <v>99</v>
      </c>
      <c r="F8" t="s">
        <v>9</v>
      </c>
      <c r="G8" t="s">
        <v>10</v>
      </c>
      <c r="H8">
        <v>39</v>
      </c>
      <c r="I8" t="str">
        <f>IFERROR(VLOOKUP(C8,Merchants!$A$2:$D$41,2,FALSE),"Merchant not found")</f>
        <v>Merchant_023</v>
      </c>
      <c r="J8" t="str">
        <f>IFERROR(VLOOKUP(C8,Merchants!$A$2:$D$41,3,FALSE),"Merchant not found")</f>
        <v>travel</v>
      </c>
      <c r="K8" t="str">
        <f>IFERROR(VLOOKUP(C8,Merchants!$A$2:$D$41,4,FALSE), "Merchant Not Fount")</f>
        <v>North</v>
      </c>
      <c r="L8" s="2">
        <f>HLOOKUP(F8,HLOOKUP_Reference!$A$1:$E$2,2,FALSE)</f>
        <v>6.4999999999999997E-3</v>
      </c>
      <c r="M8">
        <f>SUMIFS(Daily_Merchant_Pivot!$E:$E,Daily_Merchant_Pivot!$A:$A,C8,Daily_Merchant_Pivot!$D:$D,INT(D8))</f>
        <v>99</v>
      </c>
      <c r="N8" t="str">
        <f t="shared" si="0"/>
        <v>Normal Merchant Day</v>
      </c>
      <c r="O8" s="7">
        <f t="shared" si="1"/>
        <v>46030</v>
      </c>
    </row>
    <row r="9" spans="1:15" x14ac:dyDescent="0.3">
      <c r="A9" t="s">
        <v>19</v>
      </c>
      <c r="B9">
        <v>13</v>
      </c>
      <c r="C9">
        <v>13</v>
      </c>
      <c r="D9" s="1">
        <v>46049.301388888889</v>
      </c>
      <c r="E9">
        <v>99</v>
      </c>
      <c r="F9" t="s">
        <v>12</v>
      </c>
      <c r="G9" t="s">
        <v>10</v>
      </c>
      <c r="H9">
        <v>51</v>
      </c>
      <c r="I9" t="str">
        <f>IFERROR(VLOOKUP(C9,Merchants!$A$2:$D$41,2,FALSE),"Merchant not found")</f>
        <v>Merchant_013</v>
      </c>
      <c r="J9" t="str">
        <f>IFERROR(VLOOKUP(C9,Merchants!$A$2:$D$41,3,FALSE),"Merchant not found")</f>
        <v>travel</v>
      </c>
      <c r="K9" t="str">
        <f>IFERROR(VLOOKUP(C9,Merchants!$A$2:$D$41,4,FALSE), "Merchant Not Fount")</f>
        <v>East</v>
      </c>
      <c r="L9" s="2">
        <f>HLOOKUP(F9,HLOOKUP_Reference!$A$1:$E$2,2,FALSE)</f>
        <v>2E-3</v>
      </c>
      <c r="M9">
        <f>SUMIFS(Daily_Merchant_Pivot!$E:$E,Daily_Merchant_Pivot!$A:$A,C9,Daily_Merchant_Pivot!$D:$D,INT(D9))</f>
        <v>99</v>
      </c>
      <c r="N9" t="str">
        <f t="shared" si="0"/>
        <v>Normal Merchant Day</v>
      </c>
      <c r="O9" s="7">
        <f t="shared" si="1"/>
        <v>46049</v>
      </c>
    </row>
    <row r="10" spans="1:15" x14ac:dyDescent="0.3">
      <c r="A10" t="s">
        <v>20</v>
      </c>
      <c r="B10">
        <v>36</v>
      </c>
      <c r="C10">
        <v>18</v>
      </c>
      <c r="D10" s="1">
        <v>46033.371527777781</v>
      </c>
      <c r="E10">
        <v>799</v>
      </c>
      <c r="F10" t="s">
        <v>12</v>
      </c>
      <c r="G10" t="s">
        <v>10</v>
      </c>
      <c r="H10">
        <v>44</v>
      </c>
      <c r="I10" t="str">
        <f>IFERROR(VLOOKUP(C10,Merchants!$A$2:$D$41,2,FALSE),"Merchant not found")</f>
        <v>Merchant_018</v>
      </c>
      <c r="J10" t="str">
        <f>IFERROR(VLOOKUP(C10,Merchants!$A$2:$D$41,3,FALSE),"Merchant not found")</f>
        <v>grocery</v>
      </c>
      <c r="K10" t="str">
        <f>IFERROR(VLOOKUP(C10,Merchants!$A$2:$D$41,4,FALSE), "Merchant Not Fount")</f>
        <v>West</v>
      </c>
      <c r="L10" s="2">
        <f>HLOOKUP(F10,HLOOKUP_Reference!$A$1:$E$2,2,FALSE)</f>
        <v>2E-3</v>
      </c>
      <c r="M10">
        <f>SUMIFS(Daily_Merchant_Pivot!$E:$E,Daily_Merchant_Pivot!$A:$A,C10,Daily_Merchant_Pivot!$D:$D,INT(D10))</f>
        <v>799</v>
      </c>
      <c r="N10" t="str">
        <f t="shared" si="0"/>
        <v>Normal Merchant Day</v>
      </c>
      <c r="O10" s="7">
        <f t="shared" si="1"/>
        <v>46033</v>
      </c>
    </row>
    <row r="11" spans="1:15" x14ac:dyDescent="0.3">
      <c r="A11" t="s">
        <v>21</v>
      </c>
      <c r="B11">
        <v>348</v>
      </c>
      <c r="C11">
        <v>35</v>
      </c>
      <c r="D11" s="1">
        <v>46043.684027777781</v>
      </c>
      <c r="E11">
        <v>299</v>
      </c>
      <c r="F11" t="s">
        <v>12</v>
      </c>
      <c r="G11" t="s">
        <v>10</v>
      </c>
      <c r="H11">
        <v>42</v>
      </c>
      <c r="I11" t="str">
        <f>IFERROR(VLOOKUP(C11,Merchants!$A$2:$D$41,2,FALSE),"Merchant not found")</f>
        <v>Merchant_035</v>
      </c>
      <c r="J11" t="str">
        <f>IFERROR(VLOOKUP(C11,Merchants!$A$2:$D$41,3,FALSE),"Merchant not found")</f>
        <v>recharge</v>
      </c>
      <c r="K11" t="str">
        <f>IFERROR(VLOOKUP(C11,Merchants!$A$2:$D$41,4,FALSE), "Merchant Not Fount")</f>
        <v>East</v>
      </c>
      <c r="L11" s="2">
        <f>HLOOKUP(F11,HLOOKUP_Reference!$A$1:$E$2,2,FALSE)</f>
        <v>2E-3</v>
      </c>
      <c r="M11">
        <f>SUMIFS(Daily_Merchant_Pivot!$E:$E,Daily_Merchant_Pivot!$A:$A,C11,Daily_Merchant_Pivot!$D:$D,INT(D11))</f>
        <v>299</v>
      </c>
      <c r="N11" t="str">
        <f t="shared" si="0"/>
        <v>Normal Merchant Day</v>
      </c>
      <c r="O11" s="7">
        <f t="shared" si="1"/>
        <v>46043</v>
      </c>
    </row>
    <row r="12" spans="1:15" x14ac:dyDescent="0.3">
      <c r="A12" t="s">
        <v>22</v>
      </c>
      <c r="B12">
        <v>134</v>
      </c>
      <c r="C12">
        <v>12</v>
      </c>
      <c r="D12" s="1">
        <v>46023.163888888892</v>
      </c>
      <c r="E12">
        <v>49</v>
      </c>
      <c r="F12" t="s">
        <v>12</v>
      </c>
      <c r="G12" t="s">
        <v>10</v>
      </c>
      <c r="H12">
        <v>74</v>
      </c>
      <c r="I12" t="str">
        <f>IFERROR(VLOOKUP(C12,Merchants!$A$2:$D$41,2,FALSE),"Merchant not found")</f>
        <v>Merchant_012</v>
      </c>
      <c r="J12" t="str">
        <f>IFERROR(VLOOKUP(C12,Merchants!$A$2:$D$41,3,FALSE),"Merchant not found")</f>
        <v>ecommerce</v>
      </c>
      <c r="K12" t="str">
        <f>IFERROR(VLOOKUP(C12,Merchants!$A$2:$D$41,4,FALSE), "Merchant Not Fount")</f>
        <v>East</v>
      </c>
      <c r="L12" s="2">
        <f>HLOOKUP(F12,HLOOKUP_Reference!$A$1:$E$2,2,FALSE)</f>
        <v>2E-3</v>
      </c>
      <c r="M12">
        <f>SUMIFS(Daily_Merchant_Pivot!$E:$E,Daily_Merchant_Pivot!$A:$A,C12,Daily_Merchant_Pivot!$D:$D,INT(D12))</f>
        <v>548</v>
      </c>
      <c r="N12" t="str">
        <f t="shared" si="0"/>
        <v>Normal Merchant Day</v>
      </c>
      <c r="O12" s="7">
        <f t="shared" si="1"/>
        <v>46023</v>
      </c>
    </row>
    <row r="13" spans="1:15" x14ac:dyDescent="0.3">
      <c r="A13" t="s">
        <v>23</v>
      </c>
      <c r="B13">
        <v>306</v>
      </c>
      <c r="C13">
        <v>28</v>
      </c>
      <c r="D13" s="1">
        <v>46031.04583333333</v>
      </c>
      <c r="E13">
        <v>2999</v>
      </c>
      <c r="F13" t="s">
        <v>24</v>
      </c>
      <c r="G13" t="s">
        <v>25</v>
      </c>
      <c r="H13">
        <v>44</v>
      </c>
      <c r="I13" t="str">
        <f>IFERROR(VLOOKUP(C13,Merchants!$A$2:$D$41,2,FALSE),"Merchant not found")</f>
        <v>Merchant_028</v>
      </c>
      <c r="J13" t="str">
        <f>IFERROR(VLOOKUP(C13,Merchants!$A$2:$D$41,3,FALSE),"Merchant not found")</f>
        <v>ecommerce</v>
      </c>
      <c r="K13" t="str">
        <f>IFERROR(VLOOKUP(C13,Merchants!$A$2:$D$41,4,FALSE), "Merchant Not Fount")</f>
        <v>South</v>
      </c>
      <c r="L13" s="2">
        <f>HLOOKUP(F13,HLOOKUP_Reference!$A$1:$E$2,2,FALSE)</f>
        <v>1.4999999999999999E-2</v>
      </c>
      <c r="M13">
        <f>SUMIFS(Daily_Merchant_Pivot!$E:$E,Daily_Merchant_Pivot!$A:$A,C13,Daily_Merchant_Pivot!$D:$D,INT(D13))</f>
        <v>2999</v>
      </c>
      <c r="N13" t="str">
        <f t="shared" si="0"/>
        <v>Normal Merchant Day</v>
      </c>
      <c r="O13" s="7">
        <f t="shared" si="1"/>
        <v>46031</v>
      </c>
    </row>
    <row r="14" spans="1:15" x14ac:dyDescent="0.3">
      <c r="A14" t="s">
        <v>26</v>
      </c>
      <c r="B14">
        <v>311</v>
      </c>
      <c r="C14">
        <v>33</v>
      </c>
      <c r="D14" s="1">
        <v>46046.435416666667</v>
      </c>
      <c r="E14">
        <v>49</v>
      </c>
      <c r="F14" t="s">
        <v>9</v>
      </c>
      <c r="G14" t="s">
        <v>10</v>
      </c>
      <c r="H14">
        <v>14</v>
      </c>
      <c r="I14" t="str">
        <f>IFERROR(VLOOKUP(C14,Merchants!$A$2:$D$41,2,FALSE),"Merchant not found")</f>
        <v>Merchant_033</v>
      </c>
      <c r="J14" t="str">
        <f>IFERROR(VLOOKUP(C14,Merchants!$A$2:$D$41,3,FALSE),"Merchant not found")</f>
        <v>bill_payment</v>
      </c>
      <c r="K14" t="str">
        <f>IFERROR(VLOOKUP(C14,Merchants!$A$2:$D$41,4,FALSE), "Merchant Not Fount")</f>
        <v>East</v>
      </c>
      <c r="L14" s="2">
        <f>HLOOKUP(F14,HLOOKUP_Reference!$A$1:$E$2,2,FALSE)</f>
        <v>6.4999999999999997E-3</v>
      </c>
      <c r="M14">
        <f>SUMIFS(Daily_Merchant_Pivot!$E:$E,Daily_Merchant_Pivot!$A:$A,C14,Daily_Merchant_Pivot!$D:$D,INT(D14))</f>
        <v>49</v>
      </c>
      <c r="N14" t="str">
        <f t="shared" si="0"/>
        <v>Normal Merchant Day</v>
      </c>
      <c r="O14" s="7">
        <f t="shared" si="1"/>
        <v>46046</v>
      </c>
    </row>
    <row r="15" spans="1:15" x14ac:dyDescent="0.3">
      <c r="A15" t="s">
        <v>27</v>
      </c>
      <c r="B15">
        <v>131</v>
      </c>
      <c r="C15">
        <v>3</v>
      </c>
      <c r="D15" s="1">
        <v>46035.758333333331</v>
      </c>
      <c r="E15">
        <v>49</v>
      </c>
      <c r="F15" t="s">
        <v>12</v>
      </c>
      <c r="G15" t="s">
        <v>10</v>
      </c>
      <c r="H15">
        <v>90</v>
      </c>
      <c r="I15" t="str">
        <f>IFERROR(VLOOKUP(C15,Merchants!$A$2:$D$41,2,FALSE),"Merchant not found")</f>
        <v>Merchant_003</v>
      </c>
      <c r="J15" t="str">
        <f>IFERROR(VLOOKUP(C15,Merchants!$A$2:$D$41,3,FALSE),"Merchant not found")</f>
        <v>grocery</v>
      </c>
      <c r="K15" t="str">
        <f>IFERROR(VLOOKUP(C15,Merchants!$A$2:$D$41,4,FALSE), "Merchant Not Fount")</f>
        <v>East</v>
      </c>
      <c r="L15" s="2">
        <f>HLOOKUP(F15,HLOOKUP_Reference!$A$1:$E$2,2,FALSE)</f>
        <v>2E-3</v>
      </c>
      <c r="M15">
        <f>SUMIFS(Daily_Merchant_Pivot!$E:$E,Daily_Merchant_Pivot!$A:$A,C15,Daily_Merchant_Pivot!$D:$D,INT(D15))</f>
        <v>198</v>
      </c>
      <c r="N15" t="str">
        <f t="shared" si="0"/>
        <v>Normal Merchant Day</v>
      </c>
      <c r="O15" s="7">
        <f t="shared" si="1"/>
        <v>46035</v>
      </c>
    </row>
    <row r="16" spans="1:15" x14ac:dyDescent="0.3">
      <c r="A16" t="s">
        <v>28</v>
      </c>
      <c r="B16">
        <v>276</v>
      </c>
      <c r="C16">
        <v>13</v>
      </c>
      <c r="D16" s="1">
        <v>46036.022916666669</v>
      </c>
      <c r="E16">
        <v>1499</v>
      </c>
      <c r="F16" t="s">
        <v>12</v>
      </c>
      <c r="G16" t="s">
        <v>10</v>
      </c>
      <c r="H16">
        <v>46</v>
      </c>
      <c r="I16" t="str">
        <f>IFERROR(VLOOKUP(C16,Merchants!$A$2:$D$41,2,FALSE),"Merchant not found")</f>
        <v>Merchant_013</v>
      </c>
      <c r="J16" t="str">
        <f>IFERROR(VLOOKUP(C16,Merchants!$A$2:$D$41,3,FALSE),"Merchant not found")</f>
        <v>travel</v>
      </c>
      <c r="K16" t="str">
        <f>IFERROR(VLOOKUP(C16,Merchants!$A$2:$D$41,4,FALSE), "Merchant Not Fount")</f>
        <v>East</v>
      </c>
      <c r="L16" s="2">
        <f>HLOOKUP(F16,HLOOKUP_Reference!$A$1:$E$2,2,FALSE)</f>
        <v>2E-3</v>
      </c>
      <c r="M16">
        <f>SUMIFS(Daily_Merchant_Pivot!$E:$E,Daily_Merchant_Pivot!$A:$A,C16,Daily_Merchant_Pivot!$D:$D,INT(D16))</f>
        <v>1499</v>
      </c>
      <c r="N16" t="str">
        <f t="shared" si="0"/>
        <v>Normal Merchant Day</v>
      </c>
      <c r="O16" s="7">
        <f t="shared" si="1"/>
        <v>46036</v>
      </c>
    </row>
    <row r="17" spans="1:15" x14ac:dyDescent="0.3">
      <c r="A17" t="s">
        <v>29</v>
      </c>
      <c r="B17">
        <v>170</v>
      </c>
      <c r="C17">
        <v>40</v>
      </c>
      <c r="D17" s="1">
        <v>46036.112500000003</v>
      </c>
      <c r="E17">
        <v>99</v>
      </c>
      <c r="F17" t="s">
        <v>12</v>
      </c>
      <c r="G17" t="s">
        <v>10</v>
      </c>
      <c r="H17">
        <v>40</v>
      </c>
      <c r="I17" t="str">
        <f>IFERROR(VLOOKUP(C17,Merchants!$A$2:$D$41,2,FALSE),"Merchant not found")</f>
        <v>Merchant_040</v>
      </c>
      <c r="J17" t="str">
        <f>IFERROR(VLOOKUP(C17,Merchants!$A$2:$D$41,3,FALSE),"Merchant not found")</f>
        <v>entertainment</v>
      </c>
      <c r="K17" t="str">
        <f>IFERROR(VLOOKUP(C17,Merchants!$A$2:$D$41,4,FALSE), "Merchant Not Fount")</f>
        <v>South</v>
      </c>
      <c r="L17" s="2">
        <f>HLOOKUP(F17,HLOOKUP_Reference!$A$1:$E$2,2,FALSE)</f>
        <v>2E-3</v>
      </c>
      <c r="M17">
        <f>SUMIFS(Daily_Merchant_Pivot!$E:$E,Daily_Merchant_Pivot!$A:$A,C17,Daily_Merchant_Pivot!$D:$D,INT(D17))</f>
        <v>99</v>
      </c>
      <c r="N17" t="str">
        <f t="shared" si="0"/>
        <v>Normal Merchant Day</v>
      </c>
      <c r="O17" s="7">
        <f t="shared" si="1"/>
        <v>46036</v>
      </c>
    </row>
    <row r="18" spans="1:15" x14ac:dyDescent="0.3">
      <c r="A18" t="s">
        <v>30</v>
      </c>
      <c r="B18">
        <v>154</v>
      </c>
      <c r="C18">
        <v>33</v>
      </c>
      <c r="D18" s="1">
        <v>46044.156944444447</v>
      </c>
      <c r="E18">
        <v>99</v>
      </c>
      <c r="F18" t="s">
        <v>15</v>
      </c>
      <c r="G18" t="s">
        <v>10</v>
      </c>
      <c r="H18">
        <v>39</v>
      </c>
      <c r="I18" t="str">
        <f>IFERROR(VLOOKUP(C18,Merchants!$A$2:$D$41,2,FALSE),"Merchant not found")</f>
        <v>Merchant_033</v>
      </c>
      <c r="J18" t="str">
        <f>IFERROR(VLOOKUP(C18,Merchants!$A$2:$D$41,3,FALSE),"Merchant not found")</f>
        <v>bill_payment</v>
      </c>
      <c r="K18" t="str">
        <f>IFERROR(VLOOKUP(C18,Merchants!$A$2:$D$41,4,FALSE), "Merchant Not Fount")</f>
        <v>East</v>
      </c>
      <c r="L18" s="2">
        <f>HLOOKUP(F18,HLOOKUP_Reference!$A$1:$E$2,2,FALSE)</f>
        <v>0.01</v>
      </c>
      <c r="M18">
        <f>SUMIFS(Daily_Merchant_Pivot!$E:$E,Daily_Merchant_Pivot!$A:$A,C18,Daily_Merchant_Pivot!$D:$D,INT(D18))</f>
        <v>99</v>
      </c>
      <c r="N18" t="str">
        <f t="shared" si="0"/>
        <v>Normal Merchant Day</v>
      </c>
      <c r="O18" s="7">
        <f t="shared" si="1"/>
        <v>46044</v>
      </c>
    </row>
    <row r="19" spans="1:15" x14ac:dyDescent="0.3">
      <c r="A19" t="s">
        <v>31</v>
      </c>
      <c r="B19">
        <v>207</v>
      </c>
      <c r="C19">
        <v>19</v>
      </c>
      <c r="D19" s="1">
        <v>46044.555555555555</v>
      </c>
      <c r="E19">
        <v>2999</v>
      </c>
      <c r="F19" t="s">
        <v>24</v>
      </c>
      <c r="G19" t="s">
        <v>10</v>
      </c>
      <c r="H19">
        <v>70</v>
      </c>
      <c r="I19" t="str">
        <f>IFERROR(VLOOKUP(C19,Merchants!$A$2:$D$41,2,FALSE),"Merchant not found")</f>
        <v>Merchant_019</v>
      </c>
      <c r="J19" t="str">
        <f>IFERROR(VLOOKUP(C19,Merchants!$A$2:$D$41,3,FALSE),"Merchant not found")</f>
        <v>grocery</v>
      </c>
      <c r="K19" t="str">
        <f>IFERROR(VLOOKUP(C19,Merchants!$A$2:$D$41,4,FALSE), "Merchant Not Fount")</f>
        <v>North</v>
      </c>
      <c r="L19" s="2">
        <f>HLOOKUP(F19,HLOOKUP_Reference!$A$1:$E$2,2,FALSE)</f>
        <v>1.4999999999999999E-2</v>
      </c>
      <c r="M19">
        <f>SUMIFS(Daily_Merchant_Pivot!$E:$E,Daily_Merchant_Pivot!$A:$A,C19,Daily_Merchant_Pivot!$D:$D,INT(D19))</f>
        <v>2999</v>
      </c>
      <c r="N19" t="str">
        <f t="shared" si="0"/>
        <v>Normal Merchant Day</v>
      </c>
      <c r="O19" s="7">
        <f t="shared" si="1"/>
        <v>46044</v>
      </c>
    </row>
    <row r="20" spans="1:15" x14ac:dyDescent="0.3">
      <c r="A20" t="s">
        <v>32</v>
      </c>
      <c r="B20">
        <v>341</v>
      </c>
      <c r="C20">
        <v>25</v>
      </c>
      <c r="D20" s="1">
        <v>46027.268055555556</v>
      </c>
      <c r="E20">
        <v>2999</v>
      </c>
      <c r="F20" t="s">
        <v>12</v>
      </c>
      <c r="G20" t="s">
        <v>10</v>
      </c>
      <c r="H20">
        <v>86</v>
      </c>
      <c r="I20" t="str">
        <f>IFERROR(VLOOKUP(C20,Merchants!$A$2:$D$41,2,FALSE),"Merchant not found")</f>
        <v>Merchant_025</v>
      </c>
      <c r="J20" t="str">
        <f>IFERROR(VLOOKUP(C20,Merchants!$A$2:$D$41,3,FALSE),"Merchant not found")</f>
        <v>travel</v>
      </c>
      <c r="K20" t="str">
        <f>IFERROR(VLOOKUP(C20,Merchants!$A$2:$D$41,4,FALSE), "Merchant Not Fount")</f>
        <v>South</v>
      </c>
      <c r="L20" s="2">
        <f>HLOOKUP(F20,HLOOKUP_Reference!$A$1:$E$2,2,FALSE)</f>
        <v>2E-3</v>
      </c>
      <c r="M20">
        <f>SUMIFS(Daily_Merchant_Pivot!$E:$E,Daily_Merchant_Pivot!$A:$A,C20,Daily_Merchant_Pivot!$D:$D,INT(D20))</f>
        <v>4498</v>
      </c>
      <c r="N20" t="str">
        <f t="shared" si="0"/>
        <v>Normal Merchant Day</v>
      </c>
      <c r="O20" s="7">
        <f t="shared" si="1"/>
        <v>46027</v>
      </c>
    </row>
    <row r="21" spans="1:15" x14ac:dyDescent="0.3">
      <c r="A21" t="s">
        <v>33</v>
      </c>
      <c r="B21">
        <v>292</v>
      </c>
      <c r="C21">
        <v>20</v>
      </c>
      <c r="D21" s="1">
        <v>46046.23541666667</v>
      </c>
      <c r="E21">
        <v>49</v>
      </c>
      <c r="F21" t="s">
        <v>12</v>
      </c>
      <c r="G21" t="s">
        <v>10</v>
      </c>
      <c r="H21">
        <v>51</v>
      </c>
      <c r="I21" t="str">
        <f>IFERROR(VLOOKUP(C21,Merchants!$A$2:$D$41,2,FALSE),"Merchant not found")</f>
        <v>Merchant_020</v>
      </c>
      <c r="J21" t="str">
        <f>IFERROR(VLOOKUP(C21,Merchants!$A$2:$D$41,3,FALSE),"Merchant not found")</f>
        <v>food_delivery</v>
      </c>
      <c r="K21" t="str">
        <f>IFERROR(VLOOKUP(C21,Merchants!$A$2:$D$41,4,FALSE), "Merchant Not Fount")</f>
        <v>East</v>
      </c>
      <c r="L21" s="2">
        <f>HLOOKUP(F21,HLOOKUP_Reference!$A$1:$E$2,2,FALSE)</f>
        <v>2E-3</v>
      </c>
      <c r="M21">
        <f>SUMIFS(Daily_Merchant_Pivot!$E:$E,Daily_Merchant_Pivot!$A:$A,C21,Daily_Merchant_Pivot!$D:$D,INT(D21))</f>
        <v>49</v>
      </c>
      <c r="N21" t="str">
        <f t="shared" si="0"/>
        <v>Normal Merchant Day</v>
      </c>
      <c r="O21" s="7">
        <f t="shared" si="1"/>
        <v>46046</v>
      </c>
    </row>
    <row r="22" spans="1:15" x14ac:dyDescent="0.3">
      <c r="A22" t="s">
        <v>34</v>
      </c>
      <c r="B22">
        <v>147</v>
      </c>
      <c r="C22">
        <v>14</v>
      </c>
      <c r="D22" s="1">
        <v>46040.013194444444</v>
      </c>
      <c r="E22">
        <v>99</v>
      </c>
      <c r="F22" t="s">
        <v>24</v>
      </c>
      <c r="G22" t="s">
        <v>10</v>
      </c>
      <c r="H22">
        <v>55</v>
      </c>
      <c r="I22" t="str">
        <f>IFERROR(VLOOKUP(C22,Merchants!$A$2:$D$41,2,FALSE),"Merchant not found")</f>
        <v>Merchant_014</v>
      </c>
      <c r="J22" t="str">
        <f>IFERROR(VLOOKUP(C22,Merchants!$A$2:$D$41,3,FALSE),"Merchant not found")</f>
        <v>grocery</v>
      </c>
      <c r="K22" t="str">
        <f>IFERROR(VLOOKUP(C22,Merchants!$A$2:$D$41,4,FALSE), "Merchant Not Fount")</f>
        <v>East</v>
      </c>
      <c r="L22" s="2">
        <f>HLOOKUP(F22,HLOOKUP_Reference!$A$1:$E$2,2,FALSE)</f>
        <v>1.4999999999999999E-2</v>
      </c>
      <c r="M22">
        <f>SUMIFS(Daily_Merchant_Pivot!$E:$E,Daily_Merchant_Pivot!$A:$A,C22,Daily_Merchant_Pivot!$D:$D,INT(D22))</f>
        <v>99</v>
      </c>
      <c r="N22" t="str">
        <f t="shared" si="0"/>
        <v>Normal Merchant Day</v>
      </c>
      <c r="O22" s="7">
        <f t="shared" si="1"/>
        <v>46040</v>
      </c>
    </row>
    <row r="23" spans="1:15" x14ac:dyDescent="0.3">
      <c r="A23" t="s">
        <v>35</v>
      </c>
      <c r="B23">
        <v>336</v>
      </c>
      <c r="C23">
        <v>21</v>
      </c>
      <c r="D23" s="1">
        <v>46048.776388888888</v>
      </c>
      <c r="E23">
        <v>99</v>
      </c>
      <c r="F23" t="s">
        <v>12</v>
      </c>
      <c r="G23" t="s">
        <v>10</v>
      </c>
      <c r="H23">
        <v>59</v>
      </c>
      <c r="I23" t="str">
        <f>IFERROR(VLOOKUP(C23,Merchants!$A$2:$D$41,2,FALSE),"Merchant not found")</f>
        <v>Merchant_021</v>
      </c>
      <c r="J23" t="str">
        <f>IFERROR(VLOOKUP(C23,Merchants!$A$2:$D$41,3,FALSE),"Merchant not found")</f>
        <v>food_delivery</v>
      </c>
      <c r="K23" t="str">
        <f>IFERROR(VLOOKUP(C23,Merchants!$A$2:$D$41,4,FALSE), "Merchant Not Fount")</f>
        <v>East</v>
      </c>
      <c r="L23" s="2">
        <f>HLOOKUP(F23,HLOOKUP_Reference!$A$1:$E$2,2,FALSE)</f>
        <v>2E-3</v>
      </c>
      <c r="M23">
        <f>SUMIFS(Daily_Merchant_Pivot!$E:$E,Daily_Merchant_Pivot!$A:$A,C23,Daily_Merchant_Pivot!$D:$D,INT(D23))</f>
        <v>99</v>
      </c>
      <c r="N23" t="str">
        <f t="shared" si="0"/>
        <v>Normal Merchant Day</v>
      </c>
      <c r="O23" s="7">
        <f t="shared" si="1"/>
        <v>46048</v>
      </c>
    </row>
    <row r="24" spans="1:15" x14ac:dyDescent="0.3">
      <c r="A24" t="s">
        <v>36</v>
      </c>
      <c r="B24">
        <v>110</v>
      </c>
      <c r="C24">
        <v>33</v>
      </c>
      <c r="D24" s="1">
        <v>46037.613194444442</v>
      </c>
      <c r="E24">
        <v>799</v>
      </c>
      <c r="F24" t="s">
        <v>12</v>
      </c>
      <c r="G24" t="s">
        <v>10</v>
      </c>
      <c r="H24">
        <v>60</v>
      </c>
      <c r="I24" t="str">
        <f>IFERROR(VLOOKUP(C24,Merchants!$A$2:$D$41,2,FALSE),"Merchant not found")</f>
        <v>Merchant_033</v>
      </c>
      <c r="J24" t="str">
        <f>IFERROR(VLOOKUP(C24,Merchants!$A$2:$D$41,3,FALSE),"Merchant not found")</f>
        <v>bill_payment</v>
      </c>
      <c r="K24" t="str">
        <f>IFERROR(VLOOKUP(C24,Merchants!$A$2:$D$41,4,FALSE), "Merchant Not Fount")</f>
        <v>East</v>
      </c>
      <c r="L24" s="2">
        <f>HLOOKUP(F24,HLOOKUP_Reference!$A$1:$E$2,2,FALSE)</f>
        <v>2E-3</v>
      </c>
      <c r="M24">
        <f>SUMIFS(Daily_Merchant_Pivot!$E:$E,Daily_Merchant_Pivot!$A:$A,C24,Daily_Merchant_Pivot!$D:$D,INT(D24))</f>
        <v>799</v>
      </c>
      <c r="N24" t="str">
        <f t="shared" si="0"/>
        <v>Normal Merchant Day</v>
      </c>
      <c r="O24" s="7">
        <f t="shared" si="1"/>
        <v>46037</v>
      </c>
    </row>
    <row r="25" spans="1:15" x14ac:dyDescent="0.3">
      <c r="A25" t="s">
        <v>37</v>
      </c>
      <c r="B25">
        <v>338</v>
      </c>
      <c r="C25">
        <v>6</v>
      </c>
      <c r="D25" s="1">
        <v>46048.965277777781</v>
      </c>
      <c r="E25">
        <v>799</v>
      </c>
      <c r="F25" t="s">
        <v>12</v>
      </c>
      <c r="G25" t="s">
        <v>38</v>
      </c>
      <c r="H25">
        <v>36</v>
      </c>
      <c r="I25" t="str">
        <f>IFERROR(VLOOKUP(C25,Merchants!$A$2:$D$41,2,FALSE),"Merchant not found")</f>
        <v>Merchant_006</v>
      </c>
      <c r="J25" t="str">
        <f>IFERROR(VLOOKUP(C25,Merchants!$A$2:$D$41,3,FALSE),"Merchant not found")</f>
        <v>food_delivery</v>
      </c>
      <c r="K25" t="str">
        <f>IFERROR(VLOOKUP(C25,Merchants!$A$2:$D$41,4,FALSE), "Merchant Not Fount")</f>
        <v>South</v>
      </c>
      <c r="L25" s="2">
        <f>HLOOKUP(F25,HLOOKUP_Reference!$A$1:$E$2,2,FALSE)</f>
        <v>2E-3</v>
      </c>
      <c r="M25">
        <f>SUMIFS(Daily_Merchant_Pivot!$E:$E,Daily_Merchant_Pivot!$A:$A,C25,Daily_Merchant_Pivot!$D:$D,INT(D25))</f>
        <v>897</v>
      </c>
      <c r="N25" t="str">
        <f t="shared" si="0"/>
        <v>Normal Merchant Day</v>
      </c>
      <c r="O25" s="7">
        <f t="shared" si="1"/>
        <v>46048</v>
      </c>
    </row>
    <row r="26" spans="1:15" x14ac:dyDescent="0.3">
      <c r="A26" t="s">
        <v>39</v>
      </c>
      <c r="B26">
        <v>318</v>
      </c>
      <c r="C26">
        <v>22</v>
      </c>
      <c r="D26" s="1">
        <v>46039.902777777781</v>
      </c>
      <c r="E26">
        <v>799</v>
      </c>
      <c r="F26" t="s">
        <v>9</v>
      </c>
      <c r="G26" t="s">
        <v>10</v>
      </c>
      <c r="H26">
        <v>11</v>
      </c>
      <c r="I26" t="str">
        <f>IFERROR(VLOOKUP(C26,Merchants!$A$2:$D$41,2,FALSE),"Merchant not found")</f>
        <v>Merchant_022</v>
      </c>
      <c r="J26" t="str">
        <f>IFERROR(VLOOKUP(C26,Merchants!$A$2:$D$41,3,FALSE),"Merchant not found")</f>
        <v>travel</v>
      </c>
      <c r="K26" t="str">
        <f>IFERROR(VLOOKUP(C26,Merchants!$A$2:$D$41,4,FALSE), "Merchant Not Fount")</f>
        <v>South</v>
      </c>
      <c r="L26" s="2">
        <f>HLOOKUP(F26,HLOOKUP_Reference!$A$1:$E$2,2,FALSE)</f>
        <v>6.4999999999999997E-3</v>
      </c>
      <c r="M26">
        <f>SUMIFS(Daily_Merchant_Pivot!$E:$E,Daily_Merchant_Pivot!$A:$A,C26,Daily_Merchant_Pivot!$D:$D,INT(D26))</f>
        <v>1598</v>
      </c>
      <c r="N26" t="str">
        <f t="shared" si="0"/>
        <v>Normal Merchant Day</v>
      </c>
      <c r="O26" s="7">
        <f t="shared" si="1"/>
        <v>46039</v>
      </c>
    </row>
    <row r="27" spans="1:15" x14ac:dyDescent="0.3">
      <c r="A27" t="s">
        <v>40</v>
      </c>
      <c r="B27">
        <v>159</v>
      </c>
      <c r="C27">
        <v>15</v>
      </c>
      <c r="D27" s="1">
        <v>46049.321527777778</v>
      </c>
      <c r="E27">
        <v>799</v>
      </c>
      <c r="F27" t="s">
        <v>12</v>
      </c>
      <c r="G27" t="s">
        <v>10</v>
      </c>
      <c r="H27">
        <v>25</v>
      </c>
      <c r="I27" t="str">
        <f>IFERROR(VLOOKUP(C27,Merchants!$A$2:$D$41,2,FALSE),"Merchant not found")</f>
        <v>Merchant_015</v>
      </c>
      <c r="J27" t="str">
        <f>IFERROR(VLOOKUP(C27,Merchants!$A$2:$D$41,3,FALSE),"Merchant not found")</f>
        <v>travel</v>
      </c>
      <c r="K27" t="str">
        <f>IFERROR(VLOOKUP(C27,Merchants!$A$2:$D$41,4,FALSE), "Merchant Not Fount")</f>
        <v>North</v>
      </c>
      <c r="L27" s="2">
        <f>HLOOKUP(F27,HLOOKUP_Reference!$A$1:$E$2,2,FALSE)</f>
        <v>2E-3</v>
      </c>
      <c r="M27">
        <f>SUMIFS(Daily_Merchant_Pivot!$E:$E,Daily_Merchant_Pivot!$A:$A,C27,Daily_Merchant_Pivot!$D:$D,INT(D27))</f>
        <v>799</v>
      </c>
      <c r="N27" t="str">
        <f t="shared" si="0"/>
        <v>Normal Merchant Day</v>
      </c>
      <c r="O27" s="7">
        <f t="shared" si="1"/>
        <v>46049</v>
      </c>
    </row>
    <row r="28" spans="1:15" x14ac:dyDescent="0.3">
      <c r="A28" t="s">
        <v>41</v>
      </c>
      <c r="B28">
        <v>126</v>
      </c>
      <c r="C28">
        <v>31</v>
      </c>
      <c r="D28" s="1">
        <v>46027.001388888886</v>
      </c>
      <c r="E28">
        <v>49</v>
      </c>
      <c r="F28" t="s">
        <v>24</v>
      </c>
      <c r="G28" t="s">
        <v>10</v>
      </c>
      <c r="H28">
        <v>78</v>
      </c>
      <c r="I28" t="str">
        <f>IFERROR(VLOOKUP(C28,Merchants!$A$2:$D$41,2,FALSE),"Merchant not found")</f>
        <v>Merchant_031</v>
      </c>
      <c r="J28" t="str">
        <f>IFERROR(VLOOKUP(C28,Merchants!$A$2:$D$41,3,FALSE),"Merchant not found")</f>
        <v>bill_payment</v>
      </c>
      <c r="K28" t="str">
        <f>IFERROR(VLOOKUP(C28,Merchants!$A$2:$D$41,4,FALSE), "Merchant Not Fount")</f>
        <v>East</v>
      </c>
      <c r="L28" s="2">
        <f>HLOOKUP(F28,HLOOKUP_Reference!$A$1:$E$2,2,FALSE)</f>
        <v>1.4999999999999999E-2</v>
      </c>
      <c r="M28">
        <f>SUMIFS(Daily_Merchant_Pivot!$E:$E,Daily_Merchant_Pivot!$A:$A,C28,Daily_Merchant_Pivot!$D:$D,INT(D28))</f>
        <v>49</v>
      </c>
      <c r="N28" t="str">
        <f t="shared" si="0"/>
        <v>Normal Merchant Day</v>
      </c>
      <c r="O28" s="7">
        <f t="shared" si="1"/>
        <v>46027</v>
      </c>
    </row>
    <row r="29" spans="1:15" x14ac:dyDescent="0.3">
      <c r="A29" t="s">
        <v>42</v>
      </c>
      <c r="B29">
        <v>213</v>
      </c>
      <c r="C29">
        <v>37</v>
      </c>
      <c r="D29" s="1">
        <v>46050.103472222225</v>
      </c>
      <c r="E29">
        <v>99</v>
      </c>
      <c r="F29" t="s">
        <v>12</v>
      </c>
      <c r="G29" t="s">
        <v>10</v>
      </c>
      <c r="H29">
        <v>24</v>
      </c>
      <c r="I29" t="str">
        <f>IFERROR(VLOOKUP(C29,Merchants!$A$2:$D$41,2,FALSE),"Merchant not found")</f>
        <v>Merchant_037</v>
      </c>
      <c r="J29" t="str">
        <f>IFERROR(VLOOKUP(C29,Merchants!$A$2:$D$41,3,FALSE),"Merchant not found")</f>
        <v>entertainment</v>
      </c>
      <c r="K29" t="str">
        <f>IFERROR(VLOOKUP(C29,Merchants!$A$2:$D$41,4,FALSE), "Merchant Not Fount")</f>
        <v>South</v>
      </c>
      <c r="L29" s="2">
        <f>HLOOKUP(F29,HLOOKUP_Reference!$A$1:$E$2,2,FALSE)</f>
        <v>2E-3</v>
      </c>
      <c r="M29">
        <f>SUMIFS(Daily_Merchant_Pivot!$E:$E,Daily_Merchant_Pivot!$A:$A,C29,Daily_Merchant_Pivot!$D:$D,INT(D29))</f>
        <v>697</v>
      </c>
      <c r="N29" t="str">
        <f t="shared" si="0"/>
        <v>Normal Merchant Day</v>
      </c>
      <c r="O29" s="7">
        <f t="shared" si="1"/>
        <v>46050</v>
      </c>
    </row>
    <row r="30" spans="1:15" x14ac:dyDescent="0.3">
      <c r="A30" t="s">
        <v>43</v>
      </c>
      <c r="B30">
        <v>254</v>
      </c>
      <c r="C30">
        <v>26</v>
      </c>
      <c r="D30" s="1">
        <v>46045.933333333334</v>
      </c>
      <c r="E30">
        <v>99</v>
      </c>
      <c r="F30" t="s">
        <v>9</v>
      </c>
      <c r="G30" t="s">
        <v>10</v>
      </c>
      <c r="H30">
        <v>31</v>
      </c>
      <c r="I30" t="str">
        <f>IFERROR(VLOOKUP(C30,Merchants!$A$2:$D$41,2,FALSE),"Merchant not found")</f>
        <v>Merchant_026</v>
      </c>
      <c r="J30" t="str">
        <f>IFERROR(VLOOKUP(C30,Merchants!$A$2:$D$41,3,FALSE),"Merchant not found")</f>
        <v>food_delivery</v>
      </c>
      <c r="K30" t="str">
        <f>IFERROR(VLOOKUP(C30,Merchants!$A$2:$D$41,4,FALSE), "Merchant Not Fount")</f>
        <v>East</v>
      </c>
      <c r="L30" s="2">
        <f>HLOOKUP(F30,HLOOKUP_Reference!$A$1:$E$2,2,FALSE)</f>
        <v>6.4999999999999997E-3</v>
      </c>
      <c r="M30">
        <f>SUMIFS(Daily_Merchant_Pivot!$E:$E,Daily_Merchant_Pivot!$A:$A,C30,Daily_Merchant_Pivot!$D:$D,INT(D30))</f>
        <v>99</v>
      </c>
      <c r="N30" t="str">
        <f t="shared" si="0"/>
        <v>Normal Merchant Day</v>
      </c>
      <c r="O30" s="7">
        <f t="shared" si="1"/>
        <v>46045</v>
      </c>
    </row>
    <row r="31" spans="1:15" x14ac:dyDescent="0.3">
      <c r="A31" t="s">
        <v>44</v>
      </c>
      <c r="B31">
        <v>3</v>
      </c>
      <c r="C31">
        <v>7</v>
      </c>
      <c r="D31" s="1">
        <v>46027.863888888889</v>
      </c>
      <c r="E31">
        <v>1499</v>
      </c>
      <c r="F31" t="s">
        <v>12</v>
      </c>
      <c r="G31" t="s">
        <v>10</v>
      </c>
      <c r="H31">
        <v>99</v>
      </c>
      <c r="I31" t="str">
        <f>IFERROR(VLOOKUP(C31,Merchants!$A$2:$D$41,2,FALSE),"Merchant not found")</f>
        <v>Merchant_007</v>
      </c>
      <c r="J31" t="str">
        <f>IFERROR(VLOOKUP(C31,Merchants!$A$2:$D$41,3,FALSE),"Merchant not found")</f>
        <v>food_delivery</v>
      </c>
      <c r="K31" t="str">
        <f>IFERROR(VLOOKUP(C31,Merchants!$A$2:$D$41,4,FALSE), "Merchant Not Fount")</f>
        <v>East</v>
      </c>
      <c r="L31" s="2">
        <f>HLOOKUP(F31,HLOOKUP_Reference!$A$1:$E$2,2,FALSE)</f>
        <v>2E-3</v>
      </c>
      <c r="M31">
        <f>SUMIFS(Daily_Merchant_Pivot!$E:$E,Daily_Merchant_Pivot!$A:$A,C31,Daily_Merchant_Pivot!$D:$D,INT(D31))</f>
        <v>4498</v>
      </c>
      <c r="N31" t="str">
        <f t="shared" si="0"/>
        <v>Normal Merchant Day</v>
      </c>
      <c r="O31" s="7">
        <f t="shared" si="1"/>
        <v>46027</v>
      </c>
    </row>
    <row r="32" spans="1:15" x14ac:dyDescent="0.3">
      <c r="A32" t="s">
        <v>45</v>
      </c>
      <c r="B32">
        <v>266</v>
      </c>
      <c r="C32">
        <v>30</v>
      </c>
      <c r="D32" s="1">
        <v>46036.299305555556</v>
      </c>
      <c r="E32">
        <v>499</v>
      </c>
      <c r="F32" t="s">
        <v>24</v>
      </c>
      <c r="G32" t="s">
        <v>10</v>
      </c>
      <c r="H32">
        <v>6</v>
      </c>
      <c r="I32" t="str">
        <f>IFERROR(VLOOKUP(C32,Merchants!$A$2:$D$41,2,FALSE),"Merchant not found")</f>
        <v>Merchant_030</v>
      </c>
      <c r="J32" t="str">
        <f>IFERROR(VLOOKUP(C32,Merchants!$A$2:$D$41,3,FALSE),"Merchant not found")</f>
        <v>travel</v>
      </c>
      <c r="K32" t="str">
        <f>IFERROR(VLOOKUP(C32,Merchants!$A$2:$D$41,4,FALSE), "Merchant Not Fount")</f>
        <v>West</v>
      </c>
      <c r="L32" s="2">
        <f>HLOOKUP(F32,HLOOKUP_Reference!$A$1:$E$2,2,FALSE)</f>
        <v>1.4999999999999999E-2</v>
      </c>
      <c r="M32">
        <f>SUMIFS(Daily_Merchant_Pivot!$E:$E,Daily_Merchant_Pivot!$A:$A,C32,Daily_Merchant_Pivot!$D:$D,INT(D32))</f>
        <v>2497</v>
      </c>
      <c r="N32" t="str">
        <f t="shared" si="0"/>
        <v>Normal Merchant Day</v>
      </c>
      <c r="O32" s="7">
        <f t="shared" si="1"/>
        <v>46036</v>
      </c>
    </row>
    <row r="33" spans="1:15" x14ac:dyDescent="0.3">
      <c r="A33" t="s">
        <v>46</v>
      </c>
      <c r="B33">
        <v>63</v>
      </c>
      <c r="C33">
        <v>30</v>
      </c>
      <c r="D33" s="1">
        <v>46040.331944444442</v>
      </c>
      <c r="E33">
        <v>799</v>
      </c>
      <c r="F33" t="s">
        <v>12</v>
      </c>
      <c r="G33" t="s">
        <v>10</v>
      </c>
      <c r="H33">
        <v>17</v>
      </c>
      <c r="I33" t="str">
        <f>IFERROR(VLOOKUP(C33,Merchants!$A$2:$D$41,2,FALSE),"Merchant not found")</f>
        <v>Merchant_030</v>
      </c>
      <c r="J33" t="str">
        <f>IFERROR(VLOOKUP(C33,Merchants!$A$2:$D$41,3,FALSE),"Merchant not found")</f>
        <v>travel</v>
      </c>
      <c r="K33" t="str">
        <f>IFERROR(VLOOKUP(C33,Merchants!$A$2:$D$41,4,FALSE), "Merchant Not Fount")</f>
        <v>West</v>
      </c>
      <c r="L33" s="2">
        <f>HLOOKUP(F33,HLOOKUP_Reference!$A$1:$E$2,2,FALSE)</f>
        <v>2E-3</v>
      </c>
      <c r="M33">
        <f>SUMIFS(Daily_Merchant_Pivot!$E:$E,Daily_Merchant_Pivot!$A:$A,C33,Daily_Merchant_Pivot!$D:$D,INT(D33))</f>
        <v>799</v>
      </c>
      <c r="N33" t="str">
        <f t="shared" si="0"/>
        <v>Normal Merchant Day</v>
      </c>
      <c r="O33" s="7">
        <f t="shared" si="1"/>
        <v>46040</v>
      </c>
    </row>
    <row r="34" spans="1:15" x14ac:dyDescent="0.3">
      <c r="A34" t="s">
        <v>47</v>
      </c>
      <c r="B34">
        <v>272</v>
      </c>
      <c r="C34">
        <v>36</v>
      </c>
      <c r="D34" s="1">
        <v>46048.612500000003</v>
      </c>
      <c r="E34">
        <v>149</v>
      </c>
      <c r="F34" t="s">
        <v>12</v>
      </c>
      <c r="G34" t="s">
        <v>10</v>
      </c>
      <c r="H34">
        <v>76</v>
      </c>
      <c r="I34" t="str">
        <f>IFERROR(VLOOKUP(C34,Merchants!$A$2:$D$41,2,FALSE),"Merchant not found")</f>
        <v>Merchant_036</v>
      </c>
      <c r="J34" t="str">
        <f>IFERROR(VLOOKUP(C34,Merchants!$A$2:$D$41,3,FALSE),"Merchant not found")</f>
        <v>entertainment</v>
      </c>
      <c r="K34" t="str">
        <f>IFERROR(VLOOKUP(C34,Merchants!$A$2:$D$41,4,FALSE), "Merchant Not Fount")</f>
        <v>East</v>
      </c>
      <c r="L34" s="2">
        <f>HLOOKUP(F34,HLOOKUP_Reference!$A$1:$E$2,2,FALSE)</f>
        <v>2E-3</v>
      </c>
      <c r="M34">
        <f>SUMIFS(Daily_Merchant_Pivot!$E:$E,Daily_Merchant_Pivot!$A:$A,C34,Daily_Merchant_Pivot!$D:$D,INT(D34))</f>
        <v>198</v>
      </c>
      <c r="N34" t="str">
        <f t="shared" si="0"/>
        <v>Normal Merchant Day</v>
      </c>
      <c r="O34" s="7">
        <f t="shared" si="1"/>
        <v>46048</v>
      </c>
    </row>
    <row r="35" spans="1:15" x14ac:dyDescent="0.3">
      <c r="A35" t="s">
        <v>48</v>
      </c>
      <c r="B35">
        <v>259</v>
      </c>
      <c r="C35">
        <v>28</v>
      </c>
      <c r="D35" s="1">
        <v>46033.61041666667</v>
      </c>
      <c r="E35">
        <v>49</v>
      </c>
      <c r="F35" t="s">
        <v>9</v>
      </c>
      <c r="G35" t="s">
        <v>10</v>
      </c>
      <c r="H35">
        <v>70</v>
      </c>
      <c r="I35" t="str">
        <f>IFERROR(VLOOKUP(C35,Merchants!$A$2:$D$41,2,FALSE),"Merchant not found")</f>
        <v>Merchant_028</v>
      </c>
      <c r="J35" t="str">
        <f>IFERROR(VLOOKUP(C35,Merchants!$A$2:$D$41,3,FALSE),"Merchant not found")</f>
        <v>ecommerce</v>
      </c>
      <c r="K35" t="str">
        <f>IFERROR(VLOOKUP(C35,Merchants!$A$2:$D$41,4,FALSE), "Merchant Not Fount")</f>
        <v>South</v>
      </c>
      <c r="L35" s="2">
        <f>HLOOKUP(F35,HLOOKUP_Reference!$A$1:$E$2,2,FALSE)</f>
        <v>6.4999999999999997E-3</v>
      </c>
      <c r="M35">
        <f>SUMIFS(Daily_Merchant_Pivot!$E:$E,Daily_Merchant_Pivot!$A:$A,C35,Daily_Merchant_Pivot!$D:$D,INT(D35))</f>
        <v>49</v>
      </c>
      <c r="N35" t="str">
        <f t="shared" si="0"/>
        <v>Normal Merchant Day</v>
      </c>
      <c r="O35" s="7">
        <f t="shared" si="1"/>
        <v>46033</v>
      </c>
    </row>
    <row r="36" spans="1:15" x14ac:dyDescent="0.3">
      <c r="A36" t="s">
        <v>49</v>
      </c>
      <c r="B36">
        <v>244</v>
      </c>
      <c r="C36">
        <v>29</v>
      </c>
      <c r="D36" s="1">
        <v>46037.240972222222</v>
      </c>
      <c r="E36">
        <v>299</v>
      </c>
      <c r="F36" t="s">
        <v>15</v>
      </c>
      <c r="G36" t="s">
        <v>10</v>
      </c>
      <c r="H36">
        <v>33</v>
      </c>
      <c r="I36" t="str">
        <f>IFERROR(VLOOKUP(C36,Merchants!$A$2:$D$41,2,FALSE),"Merchant not found")</f>
        <v>Merchant_029</v>
      </c>
      <c r="J36" t="str">
        <f>IFERROR(VLOOKUP(C36,Merchants!$A$2:$D$41,3,FALSE),"Merchant not found")</f>
        <v>ecommerce</v>
      </c>
      <c r="K36" t="str">
        <f>IFERROR(VLOOKUP(C36,Merchants!$A$2:$D$41,4,FALSE), "Merchant Not Fount")</f>
        <v>North</v>
      </c>
      <c r="L36" s="2">
        <f>HLOOKUP(F36,HLOOKUP_Reference!$A$1:$E$2,2,FALSE)</f>
        <v>0.01</v>
      </c>
      <c r="M36">
        <f>SUMIFS(Daily_Merchant_Pivot!$E:$E,Daily_Merchant_Pivot!$A:$A,C36,Daily_Merchant_Pivot!$D:$D,INT(D36))</f>
        <v>1098</v>
      </c>
      <c r="N36" t="str">
        <f t="shared" si="0"/>
        <v>Normal Merchant Day</v>
      </c>
      <c r="O36" s="7">
        <f t="shared" si="1"/>
        <v>46037</v>
      </c>
    </row>
    <row r="37" spans="1:15" x14ac:dyDescent="0.3">
      <c r="A37" t="s">
        <v>50</v>
      </c>
      <c r="B37">
        <v>327</v>
      </c>
      <c r="C37">
        <v>18</v>
      </c>
      <c r="D37" s="1">
        <v>46047.328472222223</v>
      </c>
      <c r="E37">
        <v>149</v>
      </c>
      <c r="F37" t="s">
        <v>24</v>
      </c>
      <c r="G37" t="s">
        <v>10</v>
      </c>
      <c r="H37">
        <v>98</v>
      </c>
      <c r="I37" t="str">
        <f>IFERROR(VLOOKUP(C37,Merchants!$A$2:$D$41,2,FALSE),"Merchant not found")</f>
        <v>Merchant_018</v>
      </c>
      <c r="J37" t="str">
        <f>IFERROR(VLOOKUP(C37,Merchants!$A$2:$D$41,3,FALSE),"Merchant not found")</f>
        <v>grocery</v>
      </c>
      <c r="K37" t="str">
        <f>IFERROR(VLOOKUP(C37,Merchants!$A$2:$D$41,4,FALSE), "Merchant Not Fount")</f>
        <v>West</v>
      </c>
      <c r="L37" s="2">
        <f>HLOOKUP(F37,HLOOKUP_Reference!$A$1:$E$2,2,FALSE)</f>
        <v>1.4999999999999999E-2</v>
      </c>
      <c r="M37">
        <f>SUMIFS(Daily_Merchant_Pivot!$E:$E,Daily_Merchant_Pivot!$A:$A,C37,Daily_Merchant_Pivot!$D:$D,INT(D37))</f>
        <v>1648</v>
      </c>
      <c r="N37" t="str">
        <f t="shared" si="0"/>
        <v>Normal Merchant Day</v>
      </c>
      <c r="O37" s="7">
        <f t="shared" si="1"/>
        <v>46047</v>
      </c>
    </row>
    <row r="38" spans="1:15" x14ac:dyDescent="0.3">
      <c r="A38" t="s">
        <v>51</v>
      </c>
      <c r="B38">
        <v>321</v>
      </c>
      <c r="C38">
        <v>16</v>
      </c>
      <c r="D38" s="1">
        <v>46047.688194444447</v>
      </c>
      <c r="E38">
        <v>49</v>
      </c>
      <c r="F38" t="s">
        <v>12</v>
      </c>
      <c r="G38" t="s">
        <v>10</v>
      </c>
      <c r="H38">
        <v>35</v>
      </c>
      <c r="I38" t="str">
        <f>IFERROR(VLOOKUP(C38,Merchants!$A$2:$D$41,2,FALSE),"Merchant not found")</f>
        <v>Merchant_016</v>
      </c>
      <c r="J38" t="str">
        <f>IFERROR(VLOOKUP(C38,Merchants!$A$2:$D$41,3,FALSE),"Merchant not found")</f>
        <v>bill_payment</v>
      </c>
      <c r="K38" t="str">
        <f>IFERROR(VLOOKUP(C38,Merchants!$A$2:$D$41,4,FALSE), "Merchant Not Fount")</f>
        <v>West</v>
      </c>
      <c r="L38" s="2">
        <f>HLOOKUP(F38,HLOOKUP_Reference!$A$1:$E$2,2,FALSE)</f>
        <v>2E-3</v>
      </c>
      <c r="M38">
        <f>SUMIFS(Daily_Merchant_Pivot!$E:$E,Daily_Merchant_Pivot!$A:$A,C38,Daily_Merchant_Pivot!$D:$D,INT(D38))</f>
        <v>98</v>
      </c>
      <c r="N38" t="str">
        <f t="shared" si="0"/>
        <v>Normal Merchant Day</v>
      </c>
      <c r="O38" s="7">
        <f t="shared" si="1"/>
        <v>46047</v>
      </c>
    </row>
    <row r="39" spans="1:15" x14ac:dyDescent="0.3">
      <c r="A39" t="s">
        <v>52</v>
      </c>
      <c r="B39">
        <v>147</v>
      </c>
      <c r="C39">
        <v>16</v>
      </c>
      <c r="D39" s="1">
        <v>46037.114583333336</v>
      </c>
      <c r="E39">
        <v>2999</v>
      </c>
      <c r="F39" t="s">
        <v>24</v>
      </c>
      <c r="G39" t="s">
        <v>10</v>
      </c>
      <c r="H39">
        <v>34</v>
      </c>
      <c r="I39" t="str">
        <f>IFERROR(VLOOKUP(C39,Merchants!$A$2:$D$41,2,FALSE),"Merchant not found")</f>
        <v>Merchant_016</v>
      </c>
      <c r="J39" t="str">
        <f>IFERROR(VLOOKUP(C39,Merchants!$A$2:$D$41,3,FALSE),"Merchant not found")</f>
        <v>bill_payment</v>
      </c>
      <c r="K39" t="str">
        <f>IFERROR(VLOOKUP(C39,Merchants!$A$2:$D$41,4,FALSE), "Merchant Not Fount")</f>
        <v>West</v>
      </c>
      <c r="L39" s="2">
        <f>HLOOKUP(F39,HLOOKUP_Reference!$A$1:$E$2,2,FALSE)</f>
        <v>1.4999999999999999E-2</v>
      </c>
      <c r="M39">
        <f>SUMIFS(Daily_Merchant_Pivot!$E:$E,Daily_Merchant_Pivot!$A:$A,C39,Daily_Merchant_Pivot!$D:$D,INT(D39))</f>
        <v>2999</v>
      </c>
      <c r="N39" t="str">
        <f t="shared" si="0"/>
        <v>Normal Merchant Day</v>
      </c>
      <c r="O39" s="7">
        <f t="shared" si="1"/>
        <v>46037</v>
      </c>
    </row>
    <row r="40" spans="1:15" x14ac:dyDescent="0.3">
      <c r="A40" t="s">
        <v>53</v>
      </c>
      <c r="B40">
        <v>277</v>
      </c>
      <c r="C40">
        <v>6</v>
      </c>
      <c r="D40" s="1">
        <v>46033.456250000003</v>
      </c>
      <c r="E40">
        <v>1499</v>
      </c>
      <c r="F40" t="s">
        <v>24</v>
      </c>
      <c r="G40" t="s">
        <v>10</v>
      </c>
      <c r="H40">
        <v>17</v>
      </c>
      <c r="I40" t="str">
        <f>IFERROR(VLOOKUP(C40,Merchants!$A$2:$D$41,2,FALSE),"Merchant not found")</f>
        <v>Merchant_006</v>
      </c>
      <c r="J40" t="str">
        <f>IFERROR(VLOOKUP(C40,Merchants!$A$2:$D$41,3,FALSE),"Merchant not found")</f>
        <v>food_delivery</v>
      </c>
      <c r="K40" t="str">
        <f>IFERROR(VLOOKUP(C40,Merchants!$A$2:$D$41,4,FALSE), "Merchant Not Fount")</f>
        <v>South</v>
      </c>
      <c r="L40" s="2">
        <f>HLOOKUP(F40,HLOOKUP_Reference!$A$1:$E$2,2,FALSE)</f>
        <v>1.4999999999999999E-2</v>
      </c>
      <c r="M40">
        <f>SUMIFS(Daily_Merchant_Pivot!$E:$E,Daily_Merchant_Pivot!$A:$A,C40,Daily_Merchant_Pivot!$D:$D,INT(D40))</f>
        <v>1499</v>
      </c>
      <c r="N40" t="str">
        <f t="shared" si="0"/>
        <v>Normal Merchant Day</v>
      </c>
      <c r="O40" s="7">
        <f t="shared" si="1"/>
        <v>46033</v>
      </c>
    </row>
    <row r="41" spans="1:15" x14ac:dyDescent="0.3">
      <c r="A41" t="s">
        <v>54</v>
      </c>
      <c r="B41">
        <v>79</v>
      </c>
      <c r="C41">
        <v>14</v>
      </c>
      <c r="D41" s="1">
        <v>46027.308333333334</v>
      </c>
      <c r="E41">
        <v>1499</v>
      </c>
      <c r="F41" t="s">
        <v>12</v>
      </c>
      <c r="G41" t="s">
        <v>10</v>
      </c>
      <c r="H41">
        <v>8</v>
      </c>
      <c r="I41" t="str">
        <f>IFERROR(VLOOKUP(C41,Merchants!$A$2:$D$41,2,FALSE),"Merchant not found")</f>
        <v>Merchant_014</v>
      </c>
      <c r="J41" t="str">
        <f>IFERROR(VLOOKUP(C41,Merchants!$A$2:$D$41,3,FALSE),"Merchant not found")</f>
        <v>grocery</v>
      </c>
      <c r="K41" t="str">
        <f>IFERROR(VLOOKUP(C41,Merchants!$A$2:$D$41,4,FALSE), "Merchant Not Fount")</f>
        <v>East</v>
      </c>
      <c r="L41" s="2">
        <f>HLOOKUP(F41,HLOOKUP_Reference!$A$1:$E$2,2,FALSE)</f>
        <v>2E-3</v>
      </c>
      <c r="M41">
        <f>SUMIFS(Daily_Merchant_Pivot!$E:$E,Daily_Merchant_Pivot!$A:$A,C41,Daily_Merchant_Pivot!$D:$D,INT(D41))</f>
        <v>1499</v>
      </c>
      <c r="N41" t="str">
        <f t="shared" si="0"/>
        <v>Normal Merchant Day</v>
      </c>
      <c r="O41" s="7">
        <f t="shared" si="1"/>
        <v>46027</v>
      </c>
    </row>
    <row r="42" spans="1:15" x14ac:dyDescent="0.3">
      <c r="A42" t="s">
        <v>55</v>
      </c>
      <c r="B42">
        <v>278</v>
      </c>
      <c r="C42">
        <v>30</v>
      </c>
      <c r="D42" s="1">
        <v>46036.556250000001</v>
      </c>
      <c r="E42">
        <v>1499</v>
      </c>
      <c r="F42" t="s">
        <v>12</v>
      </c>
      <c r="G42" t="s">
        <v>10</v>
      </c>
      <c r="H42">
        <v>53</v>
      </c>
      <c r="I42" t="str">
        <f>IFERROR(VLOOKUP(C42,Merchants!$A$2:$D$41,2,FALSE),"Merchant not found")</f>
        <v>Merchant_030</v>
      </c>
      <c r="J42" t="str">
        <f>IFERROR(VLOOKUP(C42,Merchants!$A$2:$D$41,3,FALSE),"Merchant not found")</f>
        <v>travel</v>
      </c>
      <c r="K42" t="str">
        <f>IFERROR(VLOOKUP(C42,Merchants!$A$2:$D$41,4,FALSE), "Merchant Not Fount")</f>
        <v>West</v>
      </c>
      <c r="L42" s="2">
        <f>HLOOKUP(F42,HLOOKUP_Reference!$A$1:$E$2,2,FALSE)</f>
        <v>2E-3</v>
      </c>
      <c r="M42">
        <f>SUMIFS(Daily_Merchant_Pivot!$E:$E,Daily_Merchant_Pivot!$A:$A,C42,Daily_Merchant_Pivot!$D:$D,INT(D42))</f>
        <v>2497</v>
      </c>
      <c r="N42" t="str">
        <f t="shared" si="0"/>
        <v>Normal Merchant Day</v>
      </c>
      <c r="O42" s="7">
        <f t="shared" si="1"/>
        <v>46036</v>
      </c>
    </row>
    <row r="43" spans="1:15" x14ac:dyDescent="0.3">
      <c r="A43" t="s">
        <v>56</v>
      </c>
      <c r="B43">
        <v>216</v>
      </c>
      <c r="C43">
        <v>25</v>
      </c>
      <c r="D43" s="1">
        <v>46024.286805555559</v>
      </c>
      <c r="E43">
        <v>99</v>
      </c>
      <c r="F43" t="s">
        <v>12</v>
      </c>
      <c r="G43" t="s">
        <v>10</v>
      </c>
      <c r="H43">
        <v>98</v>
      </c>
      <c r="I43" t="str">
        <f>IFERROR(VLOOKUP(C43,Merchants!$A$2:$D$41,2,FALSE),"Merchant not found")</f>
        <v>Merchant_025</v>
      </c>
      <c r="J43" t="str">
        <f>IFERROR(VLOOKUP(C43,Merchants!$A$2:$D$41,3,FALSE),"Merchant not found")</f>
        <v>travel</v>
      </c>
      <c r="K43" t="str">
        <f>IFERROR(VLOOKUP(C43,Merchants!$A$2:$D$41,4,FALSE), "Merchant Not Fount")</f>
        <v>South</v>
      </c>
      <c r="L43" s="2">
        <f>HLOOKUP(F43,HLOOKUP_Reference!$A$1:$E$2,2,FALSE)</f>
        <v>2E-3</v>
      </c>
      <c r="M43">
        <f>SUMIFS(Daily_Merchant_Pivot!$E:$E,Daily_Merchant_Pivot!$A:$A,C43,Daily_Merchant_Pivot!$D:$D,INT(D43))</f>
        <v>99</v>
      </c>
      <c r="N43" t="str">
        <f t="shared" si="0"/>
        <v>Normal Merchant Day</v>
      </c>
      <c r="O43" s="7">
        <f t="shared" si="1"/>
        <v>46024</v>
      </c>
    </row>
    <row r="44" spans="1:15" x14ac:dyDescent="0.3">
      <c r="A44" t="s">
        <v>57</v>
      </c>
      <c r="B44">
        <v>295</v>
      </c>
      <c r="C44">
        <v>25</v>
      </c>
      <c r="D44" s="1">
        <v>46041.917361111111</v>
      </c>
      <c r="E44">
        <v>1499</v>
      </c>
      <c r="F44" t="s">
        <v>12</v>
      </c>
      <c r="G44" t="s">
        <v>10</v>
      </c>
      <c r="H44">
        <v>61</v>
      </c>
      <c r="I44" t="str">
        <f>IFERROR(VLOOKUP(C44,Merchants!$A$2:$D$41,2,FALSE),"Merchant not found")</f>
        <v>Merchant_025</v>
      </c>
      <c r="J44" t="str">
        <f>IFERROR(VLOOKUP(C44,Merchants!$A$2:$D$41,3,FALSE),"Merchant not found")</f>
        <v>travel</v>
      </c>
      <c r="K44" t="str">
        <f>IFERROR(VLOOKUP(C44,Merchants!$A$2:$D$41,4,FALSE), "Merchant Not Fount")</f>
        <v>South</v>
      </c>
      <c r="L44" s="2">
        <f>HLOOKUP(F44,HLOOKUP_Reference!$A$1:$E$2,2,FALSE)</f>
        <v>2E-3</v>
      </c>
      <c r="M44">
        <f>SUMIFS(Daily_Merchant_Pivot!$E:$E,Daily_Merchant_Pivot!$A:$A,C44,Daily_Merchant_Pivot!$D:$D,INT(D44))</f>
        <v>4498</v>
      </c>
      <c r="N44" t="str">
        <f t="shared" si="0"/>
        <v>Normal Merchant Day</v>
      </c>
      <c r="O44" s="7">
        <f t="shared" si="1"/>
        <v>46041</v>
      </c>
    </row>
    <row r="45" spans="1:15" x14ac:dyDescent="0.3">
      <c r="A45" t="s">
        <v>58</v>
      </c>
      <c r="B45">
        <v>200</v>
      </c>
      <c r="C45">
        <v>27</v>
      </c>
      <c r="D45" s="1">
        <v>46023.47152777778</v>
      </c>
      <c r="E45">
        <v>149</v>
      </c>
      <c r="F45" t="s">
        <v>12</v>
      </c>
      <c r="G45" t="s">
        <v>10</v>
      </c>
      <c r="H45">
        <v>68</v>
      </c>
      <c r="I45" t="str">
        <f>IFERROR(VLOOKUP(C45,Merchants!$A$2:$D$41,2,FALSE),"Merchant not found")</f>
        <v>Merchant_027</v>
      </c>
      <c r="J45" t="str">
        <f>IFERROR(VLOOKUP(C45,Merchants!$A$2:$D$41,3,FALSE),"Merchant not found")</f>
        <v>ecommerce</v>
      </c>
      <c r="K45" t="str">
        <f>IFERROR(VLOOKUP(C45,Merchants!$A$2:$D$41,4,FALSE), "Merchant Not Fount")</f>
        <v>North</v>
      </c>
      <c r="L45" s="2">
        <f>HLOOKUP(F45,HLOOKUP_Reference!$A$1:$E$2,2,FALSE)</f>
        <v>2E-3</v>
      </c>
      <c r="M45">
        <f>SUMIFS(Daily_Merchant_Pivot!$E:$E,Daily_Merchant_Pivot!$A:$A,C45,Daily_Merchant_Pivot!$D:$D,INT(D45))</f>
        <v>149</v>
      </c>
      <c r="N45" t="str">
        <f t="shared" si="0"/>
        <v>Normal Merchant Day</v>
      </c>
      <c r="O45" s="7">
        <f t="shared" si="1"/>
        <v>46023</v>
      </c>
    </row>
    <row r="46" spans="1:15" x14ac:dyDescent="0.3">
      <c r="A46" t="s">
        <v>59</v>
      </c>
      <c r="B46">
        <v>309</v>
      </c>
      <c r="C46">
        <v>15</v>
      </c>
      <c r="D46" s="1">
        <v>46046.981944444444</v>
      </c>
      <c r="E46">
        <v>99</v>
      </c>
      <c r="F46" t="s">
        <v>15</v>
      </c>
      <c r="G46" t="s">
        <v>10</v>
      </c>
      <c r="H46">
        <v>62</v>
      </c>
      <c r="I46" t="str">
        <f>IFERROR(VLOOKUP(C46,Merchants!$A$2:$D$41,2,FALSE),"Merchant not found")</f>
        <v>Merchant_015</v>
      </c>
      <c r="J46" t="str">
        <f>IFERROR(VLOOKUP(C46,Merchants!$A$2:$D$41,3,FALSE),"Merchant not found")</f>
        <v>travel</v>
      </c>
      <c r="K46" t="str">
        <f>IFERROR(VLOOKUP(C46,Merchants!$A$2:$D$41,4,FALSE), "Merchant Not Fount")</f>
        <v>North</v>
      </c>
      <c r="L46" s="2">
        <f>HLOOKUP(F46,HLOOKUP_Reference!$A$1:$E$2,2,FALSE)</f>
        <v>0.01</v>
      </c>
      <c r="M46">
        <f>SUMIFS(Daily_Merchant_Pivot!$E:$E,Daily_Merchant_Pivot!$A:$A,C46,Daily_Merchant_Pivot!$D:$D,INT(D46))</f>
        <v>148</v>
      </c>
      <c r="N46" t="str">
        <f t="shared" si="0"/>
        <v>Normal Merchant Day</v>
      </c>
      <c r="O46" s="7">
        <f t="shared" si="1"/>
        <v>46046</v>
      </c>
    </row>
    <row r="47" spans="1:15" x14ac:dyDescent="0.3">
      <c r="A47" t="s">
        <v>60</v>
      </c>
      <c r="B47">
        <v>249</v>
      </c>
      <c r="C47">
        <v>2</v>
      </c>
      <c r="D47" s="1">
        <v>46030.352083333331</v>
      </c>
      <c r="E47">
        <v>299</v>
      </c>
      <c r="F47" t="s">
        <v>9</v>
      </c>
      <c r="G47" t="s">
        <v>10</v>
      </c>
      <c r="H47">
        <v>49</v>
      </c>
      <c r="I47" t="str">
        <f>IFERROR(VLOOKUP(C47,Merchants!$A$2:$D$41,2,FALSE),"Merchant not found")</f>
        <v>Merchant_002</v>
      </c>
      <c r="J47" t="str">
        <f>IFERROR(VLOOKUP(C47,Merchants!$A$2:$D$41,3,FALSE),"Merchant not found")</f>
        <v>grocery</v>
      </c>
      <c r="K47" t="str">
        <f>IFERROR(VLOOKUP(C47,Merchants!$A$2:$D$41,4,FALSE), "Merchant Not Fount")</f>
        <v>West</v>
      </c>
      <c r="L47" s="2">
        <f>HLOOKUP(F47,HLOOKUP_Reference!$A$1:$E$2,2,FALSE)</f>
        <v>6.4999999999999997E-3</v>
      </c>
      <c r="M47">
        <f>SUMIFS(Daily_Merchant_Pivot!$E:$E,Daily_Merchant_Pivot!$A:$A,C47,Daily_Merchant_Pivot!$D:$D,INT(D47))</f>
        <v>299</v>
      </c>
      <c r="N47" t="str">
        <f t="shared" si="0"/>
        <v>Normal Merchant Day</v>
      </c>
      <c r="O47" s="7">
        <f t="shared" si="1"/>
        <v>46030</v>
      </c>
    </row>
    <row r="48" spans="1:15" x14ac:dyDescent="0.3">
      <c r="A48" t="s">
        <v>61</v>
      </c>
      <c r="B48">
        <v>208</v>
      </c>
      <c r="C48">
        <v>11</v>
      </c>
      <c r="D48" s="1">
        <v>46033.904861111114</v>
      </c>
      <c r="E48">
        <v>4999</v>
      </c>
      <c r="F48" t="s">
        <v>15</v>
      </c>
      <c r="G48" t="s">
        <v>10</v>
      </c>
      <c r="H48">
        <v>59</v>
      </c>
      <c r="I48" t="str">
        <f>IFERROR(VLOOKUP(C48,Merchants!$A$2:$D$41,2,FALSE),"Merchant not found")</f>
        <v>Merchant_011</v>
      </c>
      <c r="J48" t="str">
        <f>IFERROR(VLOOKUP(C48,Merchants!$A$2:$D$41,3,FALSE),"Merchant not found")</f>
        <v>ecommerce</v>
      </c>
      <c r="K48" t="str">
        <f>IFERROR(VLOOKUP(C48,Merchants!$A$2:$D$41,4,FALSE), "Merchant Not Fount")</f>
        <v>North</v>
      </c>
      <c r="L48" s="2">
        <f>HLOOKUP(F48,HLOOKUP_Reference!$A$1:$E$2,2,FALSE)</f>
        <v>0.01</v>
      </c>
      <c r="M48">
        <f>SUMIFS(Daily_Merchant_Pivot!$E:$E,Daily_Merchant_Pivot!$A:$A,C48,Daily_Merchant_Pivot!$D:$D,INT(D48))</f>
        <v>4999</v>
      </c>
      <c r="N48" t="str">
        <f t="shared" si="0"/>
        <v>Normal Merchant Day</v>
      </c>
      <c r="O48" s="7">
        <f t="shared" si="1"/>
        <v>46033</v>
      </c>
    </row>
    <row r="49" spans="1:15" x14ac:dyDescent="0.3">
      <c r="A49" t="s">
        <v>62</v>
      </c>
      <c r="B49">
        <v>274</v>
      </c>
      <c r="C49">
        <v>2</v>
      </c>
      <c r="D49" s="1">
        <v>46052.193749999999</v>
      </c>
      <c r="E49">
        <v>299</v>
      </c>
      <c r="F49" t="s">
        <v>12</v>
      </c>
      <c r="G49" t="s">
        <v>10</v>
      </c>
      <c r="H49">
        <v>50</v>
      </c>
      <c r="I49" t="str">
        <f>IFERROR(VLOOKUP(C49,Merchants!$A$2:$D$41,2,FALSE),"Merchant not found")</f>
        <v>Merchant_002</v>
      </c>
      <c r="J49" t="str">
        <f>IFERROR(VLOOKUP(C49,Merchants!$A$2:$D$41,3,FALSE),"Merchant not found")</f>
        <v>grocery</v>
      </c>
      <c r="K49" t="str">
        <f>IFERROR(VLOOKUP(C49,Merchants!$A$2:$D$41,4,FALSE), "Merchant Not Fount")</f>
        <v>West</v>
      </c>
      <c r="L49" s="2">
        <f>HLOOKUP(F49,HLOOKUP_Reference!$A$1:$E$2,2,FALSE)</f>
        <v>2E-3</v>
      </c>
      <c r="M49">
        <f>SUMIFS(Daily_Merchant_Pivot!$E:$E,Daily_Merchant_Pivot!$A:$A,C49,Daily_Merchant_Pivot!$D:$D,INT(D49))</f>
        <v>299</v>
      </c>
      <c r="N49" t="str">
        <f t="shared" si="0"/>
        <v>Normal Merchant Day</v>
      </c>
      <c r="O49" s="7">
        <f t="shared" si="1"/>
        <v>46052</v>
      </c>
    </row>
    <row r="50" spans="1:15" x14ac:dyDescent="0.3">
      <c r="A50" t="s">
        <v>63</v>
      </c>
      <c r="B50">
        <v>14</v>
      </c>
      <c r="C50">
        <v>6</v>
      </c>
      <c r="D50" s="1">
        <v>46041.779166666667</v>
      </c>
      <c r="E50">
        <v>49</v>
      </c>
      <c r="F50" t="s">
        <v>9</v>
      </c>
      <c r="G50" t="s">
        <v>10</v>
      </c>
      <c r="H50">
        <v>82</v>
      </c>
      <c r="I50" t="str">
        <f>IFERROR(VLOOKUP(C50,Merchants!$A$2:$D$41,2,FALSE),"Merchant not found")</f>
        <v>Merchant_006</v>
      </c>
      <c r="J50" t="str">
        <f>IFERROR(VLOOKUP(C50,Merchants!$A$2:$D$41,3,FALSE),"Merchant not found")</f>
        <v>food_delivery</v>
      </c>
      <c r="K50" t="str">
        <f>IFERROR(VLOOKUP(C50,Merchants!$A$2:$D$41,4,FALSE), "Merchant Not Fount")</f>
        <v>South</v>
      </c>
      <c r="L50" s="2">
        <f>HLOOKUP(F50,HLOOKUP_Reference!$A$1:$E$2,2,FALSE)</f>
        <v>6.4999999999999997E-3</v>
      </c>
      <c r="M50">
        <f>SUMIFS(Daily_Merchant_Pivot!$E:$E,Daily_Merchant_Pivot!$A:$A,C50,Daily_Merchant_Pivot!$D:$D,INT(D50))</f>
        <v>49</v>
      </c>
      <c r="N50" t="str">
        <f t="shared" si="0"/>
        <v>Normal Merchant Day</v>
      </c>
      <c r="O50" s="7">
        <f t="shared" si="1"/>
        <v>46041</v>
      </c>
    </row>
    <row r="51" spans="1:15" x14ac:dyDescent="0.3">
      <c r="A51" t="s">
        <v>64</v>
      </c>
      <c r="B51">
        <v>237</v>
      </c>
      <c r="C51">
        <v>12</v>
      </c>
      <c r="D51" s="1">
        <v>46036.204861111109</v>
      </c>
      <c r="E51">
        <v>49</v>
      </c>
      <c r="F51" t="s">
        <v>12</v>
      </c>
      <c r="G51" t="s">
        <v>10</v>
      </c>
      <c r="H51">
        <v>6</v>
      </c>
      <c r="I51" t="str">
        <f>IFERROR(VLOOKUP(C51,Merchants!$A$2:$D$41,2,FALSE),"Merchant not found")</f>
        <v>Merchant_012</v>
      </c>
      <c r="J51" t="str">
        <f>IFERROR(VLOOKUP(C51,Merchants!$A$2:$D$41,3,FALSE),"Merchant not found")</f>
        <v>ecommerce</v>
      </c>
      <c r="K51" t="str">
        <f>IFERROR(VLOOKUP(C51,Merchants!$A$2:$D$41,4,FALSE), "Merchant Not Fount")</f>
        <v>East</v>
      </c>
      <c r="L51" s="2">
        <f>HLOOKUP(F51,HLOOKUP_Reference!$A$1:$E$2,2,FALSE)</f>
        <v>2E-3</v>
      </c>
      <c r="M51">
        <f>SUMIFS(Daily_Merchant_Pivot!$E:$E,Daily_Merchant_Pivot!$A:$A,C51,Daily_Merchant_Pivot!$D:$D,INT(D51))</f>
        <v>548</v>
      </c>
      <c r="N51" t="str">
        <f t="shared" si="0"/>
        <v>Normal Merchant Day</v>
      </c>
      <c r="O51" s="7">
        <f t="shared" si="1"/>
        <v>46036</v>
      </c>
    </row>
    <row r="52" spans="1:15" x14ac:dyDescent="0.3">
      <c r="A52" t="s">
        <v>65</v>
      </c>
      <c r="B52">
        <v>109</v>
      </c>
      <c r="C52">
        <v>30</v>
      </c>
      <c r="D52" s="1">
        <v>46031.513888888891</v>
      </c>
      <c r="E52">
        <v>99</v>
      </c>
      <c r="F52" t="s">
        <v>12</v>
      </c>
      <c r="G52" t="s">
        <v>10</v>
      </c>
      <c r="H52">
        <v>41</v>
      </c>
      <c r="I52" t="str">
        <f>IFERROR(VLOOKUP(C52,Merchants!$A$2:$D$41,2,FALSE),"Merchant not found")</f>
        <v>Merchant_030</v>
      </c>
      <c r="J52" t="str">
        <f>IFERROR(VLOOKUP(C52,Merchants!$A$2:$D$41,3,FALSE),"Merchant not found")</f>
        <v>travel</v>
      </c>
      <c r="K52" t="str">
        <f>IFERROR(VLOOKUP(C52,Merchants!$A$2:$D$41,4,FALSE), "Merchant Not Fount")</f>
        <v>West</v>
      </c>
      <c r="L52" s="2">
        <f>HLOOKUP(F52,HLOOKUP_Reference!$A$1:$E$2,2,FALSE)</f>
        <v>2E-3</v>
      </c>
      <c r="M52">
        <f>SUMIFS(Daily_Merchant_Pivot!$E:$E,Daily_Merchant_Pivot!$A:$A,C52,Daily_Merchant_Pivot!$D:$D,INT(D52))</f>
        <v>99</v>
      </c>
      <c r="N52" t="str">
        <f t="shared" si="0"/>
        <v>Normal Merchant Day</v>
      </c>
      <c r="O52" s="7">
        <f t="shared" si="1"/>
        <v>46031</v>
      </c>
    </row>
    <row r="53" spans="1:15" x14ac:dyDescent="0.3">
      <c r="A53" t="s">
        <v>66</v>
      </c>
      <c r="B53">
        <v>216</v>
      </c>
      <c r="C53">
        <v>17</v>
      </c>
      <c r="D53" s="1">
        <v>46033.511805555558</v>
      </c>
      <c r="E53">
        <v>4999</v>
      </c>
      <c r="F53" t="s">
        <v>12</v>
      </c>
      <c r="G53" t="s">
        <v>10</v>
      </c>
      <c r="H53">
        <v>10</v>
      </c>
      <c r="I53" t="str">
        <f>IFERROR(VLOOKUP(C53,Merchants!$A$2:$D$41,2,FALSE),"Merchant not found")</f>
        <v>Merchant_017</v>
      </c>
      <c r="J53" t="str">
        <f>IFERROR(VLOOKUP(C53,Merchants!$A$2:$D$41,3,FALSE),"Merchant not found")</f>
        <v>grocery</v>
      </c>
      <c r="K53" t="str">
        <f>IFERROR(VLOOKUP(C53,Merchants!$A$2:$D$41,4,FALSE), "Merchant Not Fount")</f>
        <v>North</v>
      </c>
      <c r="L53" s="2">
        <f>HLOOKUP(F53,HLOOKUP_Reference!$A$1:$E$2,2,FALSE)</f>
        <v>2E-3</v>
      </c>
      <c r="M53">
        <f>SUMIFS(Daily_Merchant_Pivot!$E:$E,Daily_Merchant_Pivot!$A:$A,C53,Daily_Merchant_Pivot!$D:$D,INT(D53))</f>
        <v>7998</v>
      </c>
      <c r="N53" t="str">
        <f t="shared" si="0"/>
        <v>High-Value Merchant Day</v>
      </c>
      <c r="O53" s="7">
        <f t="shared" si="1"/>
        <v>46033</v>
      </c>
    </row>
    <row r="54" spans="1:15" x14ac:dyDescent="0.3">
      <c r="A54" t="s">
        <v>67</v>
      </c>
      <c r="B54">
        <v>277</v>
      </c>
      <c r="C54">
        <v>4</v>
      </c>
      <c r="D54" s="1">
        <v>46038.032638888886</v>
      </c>
      <c r="E54">
        <v>799</v>
      </c>
      <c r="F54" t="s">
        <v>12</v>
      </c>
      <c r="G54" t="s">
        <v>10</v>
      </c>
      <c r="H54">
        <v>44</v>
      </c>
      <c r="I54" t="str">
        <f>IFERROR(VLOOKUP(C54,Merchants!$A$2:$D$41,2,FALSE),"Merchant not found")</f>
        <v>Merchant_004</v>
      </c>
      <c r="J54" t="str">
        <f>IFERROR(VLOOKUP(C54,Merchants!$A$2:$D$41,3,FALSE),"Merchant not found")</f>
        <v>ecommerce</v>
      </c>
      <c r="K54" t="str">
        <f>IFERROR(VLOOKUP(C54,Merchants!$A$2:$D$41,4,FALSE), "Merchant Not Fount")</f>
        <v>East</v>
      </c>
      <c r="L54" s="2">
        <f>HLOOKUP(F54,HLOOKUP_Reference!$A$1:$E$2,2,FALSE)</f>
        <v>2E-3</v>
      </c>
      <c r="M54">
        <f>SUMIFS(Daily_Merchant_Pivot!$E:$E,Daily_Merchant_Pivot!$A:$A,C54,Daily_Merchant_Pivot!$D:$D,INT(D54))</f>
        <v>799</v>
      </c>
      <c r="N54" t="str">
        <f t="shared" si="0"/>
        <v>Normal Merchant Day</v>
      </c>
      <c r="O54" s="7">
        <f t="shared" si="1"/>
        <v>46038</v>
      </c>
    </row>
    <row r="55" spans="1:15" x14ac:dyDescent="0.3">
      <c r="A55" t="s">
        <v>68</v>
      </c>
      <c r="B55">
        <v>334</v>
      </c>
      <c r="C55">
        <v>3</v>
      </c>
      <c r="D55" s="1">
        <v>46030.836111111108</v>
      </c>
      <c r="E55">
        <v>149</v>
      </c>
      <c r="F55" t="s">
        <v>9</v>
      </c>
      <c r="G55" t="s">
        <v>10</v>
      </c>
      <c r="H55">
        <v>96</v>
      </c>
      <c r="I55" t="str">
        <f>IFERROR(VLOOKUP(C55,Merchants!$A$2:$D$41,2,FALSE),"Merchant not found")</f>
        <v>Merchant_003</v>
      </c>
      <c r="J55" t="str">
        <f>IFERROR(VLOOKUP(C55,Merchants!$A$2:$D$41,3,FALSE),"Merchant not found")</f>
        <v>grocery</v>
      </c>
      <c r="K55" t="str">
        <f>IFERROR(VLOOKUP(C55,Merchants!$A$2:$D$41,4,FALSE), "Merchant Not Fount")</f>
        <v>East</v>
      </c>
      <c r="L55" s="2">
        <f>HLOOKUP(F55,HLOOKUP_Reference!$A$1:$E$2,2,FALSE)</f>
        <v>6.4999999999999997E-3</v>
      </c>
      <c r="M55">
        <f>SUMIFS(Daily_Merchant_Pivot!$E:$E,Daily_Merchant_Pivot!$A:$A,C55,Daily_Merchant_Pivot!$D:$D,INT(D55))</f>
        <v>149</v>
      </c>
      <c r="N55" t="str">
        <f t="shared" si="0"/>
        <v>Normal Merchant Day</v>
      </c>
      <c r="O55" s="7">
        <f t="shared" si="1"/>
        <v>46030</v>
      </c>
    </row>
    <row r="56" spans="1:15" x14ac:dyDescent="0.3">
      <c r="A56" t="s">
        <v>69</v>
      </c>
      <c r="B56">
        <v>11</v>
      </c>
      <c r="C56">
        <v>40</v>
      </c>
      <c r="D56" s="1">
        <v>46023.3</v>
      </c>
      <c r="E56">
        <v>299</v>
      </c>
      <c r="F56" t="s">
        <v>12</v>
      </c>
      <c r="G56" t="s">
        <v>10</v>
      </c>
      <c r="H56">
        <v>19</v>
      </c>
      <c r="I56" t="str">
        <f>IFERROR(VLOOKUP(C56,Merchants!$A$2:$D$41,2,FALSE),"Merchant not found")</f>
        <v>Merchant_040</v>
      </c>
      <c r="J56" t="str">
        <f>IFERROR(VLOOKUP(C56,Merchants!$A$2:$D$41,3,FALSE),"Merchant not found")</f>
        <v>entertainment</v>
      </c>
      <c r="K56" t="str">
        <f>IFERROR(VLOOKUP(C56,Merchants!$A$2:$D$41,4,FALSE), "Merchant Not Fount")</f>
        <v>South</v>
      </c>
      <c r="L56" s="2">
        <f>HLOOKUP(F56,HLOOKUP_Reference!$A$1:$E$2,2,FALSE)</f>
        <v>2E-3</v>
      </c>
      <c r="M56">
        <f>SUMIFS(Daily_Merchant_Pivot!$E:$E,Daily_Merchant_Pivot!$A:$A,C56,Daily_Merchant_Pivot!$D:$D,INT(D56))</f>
        <v>299</v>
      </c>
      <c r="N56" t="str">
        <f t="shared" si="0"/>
        <v>Normal Merchant Day</v>
      </c>
      <c r="O56" s="7">
        <f t="shared" si="1"/>
        <v>46023</v>
      </c>
    </row>
    <row r="57" spans="1:15" x14ac:dyDescent="0.3">
      <c r="A57" t="s">
        <v>70</v>
      </c>
      <c r="B57">
        <v>343</v>
      </c>
      <c r="C57">
        <v>8</v>
      </c>
      <c r="D57" s="1">
        <v>46030.1875</v>
      </c>
      <c r="E57">
        <v>99</v>
      </c>
      <c r="F57" t="s">
        <v>12</v>
      </c>
      <c r="G57" t="s">
        <v>10</v>
      </c>
      <c r="H57">
        <v>72</v>
      </c>
      <c r="I57" t="str">
        <f>IFERROR(VLOOKUP(C57,Merchants!$A$2:$D$41,2,FALSE),"Merchant not found")</f>
        <v>Merchant_008</v>
      </c>
      <c r="J57" t="str">
        <f>IFERROR(VLOOKUP(C57,Merchants!$A$2:$D$41,3,FALSE),"Merchant not found")</f>
        <v>food_delivery</v>
      </c>
      <c r="K57" t="str">
        <f>IFERROR(VLOOKUP(C57,Merchants!$A$2:$D$41,4,FALSE), "Merchant Not Fount")</f>
        <v>North</v>
      </c>
      <c r="L57" s="2">
        <f>HLOOKUP(F57,HLOOKUP_Reference!$A$1:$E$2,2,FALSE)</f>
        <v>2E-3</v>
      </c>
      <c r="M57">
        <f>SUMIFS(Daily_Merchant_Pivot!$E:$E,Daily_Merchant_Pivot!$A:$A,C57,Daily_Merchant_Pivot!$D:$D,INT(D57))</f>
        <v>99</v>
      </c>
      <c r="N57" t="str">
        <f t="shared" si="0"/>
        <v>Normal Merchant Day</v>
      </c>
      <c r="O57" s="7">
        <f t="shared" si="1"/>
        <v>46030</v>
      </c>
    </row>
    <row r="58" spans="1:15" x14ac:dyDescent="0.3">
      <c r="A58" t="s">
        <v>71</v>
      </c>
      <c r="B58">
        <v>132</v>
      </c>
      <c r="C58">
        <v>24</v>
      </c>
      <c r="D58" s="1">
        <v>46029.613888888889</v>
      </c>
      <c r="E58">
        <v>299</v>
      </c>
      <c r="F58" t="s">
        <v>9</v>
      </c>
      <c r="G58" t="s">
        <v>10</v>
      </c>
      <c r="H58">
        <v>21</v>
      </c>
      <c r="I58" t="str">
        <f>IFERROR(VLOOKUP(C58,Merchants!$A$2:$D$41,2,FALSE),"Merchant not found")</f>
        <v>Merchant_024</v>
      </c>
      <c r="J58" t="str">
        <f>IFERROR(VLOOKUP(C58,Merchants!$A$2:$D$41,3,FALSE),"Merchant not found")</f>
        <v>grocery</v>
      </c>
      <c r="K58" t="str">
        <f>IFERROR(VLOOKUP(C58,Merchants!$A$2:$D$41,4,FALSE), "Merchant Not Fount")</f>
        <v>North</v>
      </c>
      <c r="L58" s="2">
        <f>HLOOKUP(F58,HLOOKUP_Reference!$A$1:$E$2,2,FALSE)</f>
        <v>6.4999999999999997E-3</v>
      </c>
      <c r="M58">
        <f>SUMIFS(Daily_Merchant_Pivot!$E:$E,Daily_Merchant_Pivot!$A:$A,C58,Daily_Merchant_Pivot!$D:$D,INT(D58))</f>
        <v>299</v>
      </c>
      <c r="N58" t="str">
        <f t="shared" si="0"/>
        <v>Normal Merchant Day</v>
      </c>
      <c r="O58" s="7">
        <f t="shared" si="1"/>
        <v>46029</v>
      </c>
    </row>
    <row r="59" spans="1:15" x14ac:dyDescent="0.3">
      <c r="A59" t="s">
        <v>72</v>
      </c>
      <c r="B59">
        <v>59</v>
      </c>
      <c r="C59">
        <v>11</v>
      </c>
      <c r="D59" s="1">
        <v>46042.824305555558</v>
      </c>
      <c r="E59">
        <v>299</v>
      </c>
      <c r="F59" t="s">
        <v>12</v>
      </c>
      <c r="G59" t="s">
        <v>10</v>
      </c>
      <c r="H59">
        <v>39</v>
      </c>
      <c r="I59" t="str">
        <f>IFERROR(VLOOKUP(C59,Merchants!$A$2:$D$41,2,FALSE),"Merchant not found")</f>
        <v>Merchant_011</v>
      </c>
      <c r="J59" t="str">
        <f>IFERROR(VLOOKUP(C59,Merchants!$A$2:$D$41,3,FALSE),"Merchant not found")</f>
        <v>ecommerce</v>
      </c>
      <c r="K59" t="str">
        <f>IFERROR(VLOOKUP(C59,Merchants!$A$2:$D$41,4,FALSE), "Merchant Not Fount")</f>
        <v>North</v>
      </c>
      <c r="L59" s="2">
        <f>HLOOKUP(F59,HLOOKUP_Reference!$A$1:$E$2,2,FALSE)</f>
        <v>2E-3</v>
      </c>
      <c r="M59">
        <f>SUMIFS(Daily_Merchant_Pivot!$E:$E,Daily_Merchant_Pivot!$A:$A,C59,Daily_Merchant_Pivot!$D:$D,INT(D59))</f>
        <v>299</v>
      </c>
      <c r="N59" t="str">
        <f t="shared" si="0"/>
        <v>Normal Merchant Day</v>
      </c>
      <c r="O59" s="7">
        <f t="shared" si="1"/>
        <v>46042</v>
      </c>
    </row>
    <row r="60" spans="1:15" x14ac:dyDescent="0.3">
      <c r="A60" t="s">
        <v>73</v>
      </c>
      <c r="B60">
        <v>160</v>
      </c>
      <c r="C60">
        <v>37</v>
      </c>
      <c r="D60" s="1">
        <v>46026.750694444447</v>
      </c>
      <c r="E60">
        <v>49</v>
      </c>
      <c r="F60" t="s">
        <v>9</v>
      </c>
      <c r="G60" t="s">
        <v>10</v>
      </c>
      <c r="H60">
        <v>86</v>
      </c>
      <c r="I60" t="str">
        <f>IFERROR(VLOOKUP(C60,Merchants!$A$2:$D$41,2,FALSE),"Merchant not found")</f>
        <v>Merchant_037</v>
      </c>
      <c r="J60" t="str">
        <f>IFERROR(VLOOKUP(C60,Merchants!$A$2:$D$41,3,FALSE),"Merchant not found")</f>
        <v>entertainment</v>
      </c>
      <c r="K60" t="str">
        <f>IFERROR(VLOOKUP(C60,Merchants!$A$2:$D$41,4,FALSE), "Merchant Not Fount")</f>
        <v>South</v>
      </c>
      <c r="L60" s="2">
        <f>HLOOKUP(F60,HLOOKUP_Reference!$A$1:$E$2,2,FALSE)</f>
        <v>6.4999999999999997E-3</v>
      </c>
      <c r="M60">
        <f>SUMIFS(Daily_Merchant_Pivot!$E:$E,Daily_Merchant_Pivot!$A:$A,C60,Daily_Merchant_Pivot!$D:$D,INT(D60))</f>
        <v>49</v>
      </c>
      <c r="N60" t="str">
        <f t="shared" si="0"/>
        <v>Normal Merchant Day</v>
      </c>
      <c r="O60" s="7">
        <f t="shared" si="1"/>
        <v>46026</v>
      </c>
    </row>
    <row r="61" spans="1:15" x14ac:dyDescent="0.3">
      <c r="A61" t="s">
        <v>74</v>
      </c>
      <c r="B61">
        <v>102</v>
      </c>
      <c r="C61">
        <v>5</v>
      </c>
      <c r="D61" s="1">
        <v>46052.517361111109</v>
      </c>
      <c r="E61">
        <v>2999</v>
      </c>
      <c r="F61" t="s">
        <v>12</v>
      </c>
      <c r="G61" t="s">
        <v>10</v>
      </c>
      <c r="H61">
        <v>75</v>
      </c>
      <c r="I61" t="str">
        <f>IFERROR(VLOOKUP(C61,Merchants!$A$2:$D$41,2,FALSE),"Merchant not found")</f>
        <v>Merchant_005</v>
      </c>
      <c r="J61" t="str">
        <f>IFERROR(VLOOKUP(C61,Merchants!$A$2:$D$41,3,FALSE),"Merchant not found")</f>
        <v>recharge</v>
      </c>
      <c r="K61" t="str">
        <f>IFERROR(VLOOKUP(C61,Merchants!$A$2:$D$41,4,FALSE), "Merchant Not Fount")</f>
        <v>South</v>
      </c>
      <c r="L61" s="2">
        <f>HLOOKUP(F61,HLOOKUP_Reference!$A$1:$E$2,2,FALSE)</f>
        <v>2E-3</v>
      </c>
      <c r="M61">
        <f>SUMIFS(Daily_Merchant_Pivot!$E:$E,Daily_Merchant_Pivot!$A:$A,C61,Daily_Merchant_Pivot!$D:$D,INT(D61))</f>
        <v>2999</v>
      </c>
      <c r="N61" t="str">
        <f t="shared" si="0"/>
        <v>Normal Merchant Day</v>
      </c>
      <c r="O61" s="7">
        <f t="shared" si="1"/>
        <v>46052</v>
      </c>
    </row>
    <row r="62" spans="1:15" x14ac:dyDescent="0.3">
      <c r="A62" t="s">
        <v>75</v>
      </c>
      <c r="B62">
        <v>53</v>
      </c>
      <c r="C62">
        <v>20</v>
      </c>
      <c r="D62" s="1">
        <v>46045.84375</v>
      </c>
      <c r="E62">
        <v>49</v>
      </c>
      <c r="F62" t="s">
        <v>15</v>
      </c>
      <c r="G62" t="s">
        <v>10</v>
      </c>
      <c r="H62">
        <v>87</v>
      </c>
      <c r="I62" t="str">
        <f>IFERROR(VLOOKUP(C62,Merchants!$A$2:$D$41,2,FALSE),"Merchant not found")</f>
        <v>Merchant_020</v>
      </c>
      <c r="J62" t="str">
        <f>IFERROR(VLOOKUP(C62,Merchants!$A$2:$D$41,3,FALSE),"Merchant not found")</f>
        <v>food_delivery</v>
      </c>
      <c r="K62" t="str">
        <f>IFERROR(VLOOKUP(C62,Merchants!$A$2:$D$41,4,FALSE), "Merchant Not Fount")</f>
        <v>East</v>
      </c>
      <c r="L62" s="2">
        <f>HLOOKUP(F62,HLOOKUP_Reference!$A$1:$E$2,2,FALSE)</f>
        <v>0.01</v>
      </c>
      <c r="M62">
        <f>SUMIFS(Daily_Merchant_Pivot!$E:$E,Daily_Merchant_Pivot!$A:$A,C62,Daily_Merchant_Pivot!$D:$D,INT(D62))</f>
        <v>49</v>
      </c>
      <c r="N62" t="str">
        <f t="shared" si="0"/>
        <v>Normal Merchant Day</v>
      </c>
      <c r="O62" s="7">
        <f t="shared" si="1"/>
        <v>46045</v>
      </c>
    </row>
    <row r="63" spans="1:15" x14ac:dyDescent="0.3">
      <c r="A63" t="s">
        <v>76</v>
      </c>
      <c r="B63">
        <v>290</v>
      </c>
      <c r="C63">
        <v>3</v>
      </c>
      <c r="D63" s="1">
        <v>46042.159722222219</v>
      </c>
      <c r="E63">
        <v>99</v>
      </c>
      <c r="F63" t="s">
        <v>9</v>
      </c>
      <c r="G63" t="s">
        <v>10</v>
      </c>
      <c r="H63">
        <v>44</v>
      </c>
      <c r="I63" t="str">
        <f>IFERROR(VLOOKUP(C63,Merchants!$A$2:$D$41,2,FALSE),"Merchant not found")</f>
        <v>Merchant_003</v>
      </c>
      <c r="J63" t="str">
        <f>IFERROR(VLOOKUP(C63,Merchants!$A$2:$D$41,3,FALSE),"Merchant not found")</f>
        <v>grocery</v>
      </c>
      <c r="K63" t="str">
        <f>IFERROR(VLOOKUP(C63,Merchants!$A$2:$D$41,4,FALSE), "Merchant Not Fount")</f>
        <v>East</v>
      </c>
      <c r="L63" s="2">
        <f>HLOOKUP(F63,HLOOKUP_Reference!$A$1:$E$2,2,FALSE)</f>
        <v>6.4999999999999997E-3</v>
      </c>
      <c r="M63">
        <f>SUMIFS(Daily_Merchant_Pivot!$E:$E,Daily_Merchant_Pivot!$A:$A,C63,Daily_Merchant_Pivot!$D:$D,INT(D63))</f>
        <v>99</v>
      </c>
      <c r="N63" t="str">
        <f t="shared" si="0"/>
        <v>Normal Merchant Day</v>
      </c>
      <c r="O63" s="7">
        <f t="shared" si="1"/>
        <v>46042</v>
      </c>
    </row>
    <row r="64" spans="1:15" x14ac:dyDescent="0.3">
      <c r="A64" t="s">
        <v>77</v>
      </c>
      <c r="B64">
        <v>190</v>
      </c>
      <c r="C64">
        <v>5</v>
      </c>
      <c r="D64" s="1">
        <v>46040.570833333331</v>
      </c>
      <c r="E64">
        <v>299</v>
      </c>
      <c r="F64" t="s">
        <v>12</v>
      </c>
      <c r="G64" t="s">
        <v>10</v>
      </c>
      <c r="H64">
        <v>64</v>
      </c>
      <c r="I64" t="str">
        <f>IFERROR(VLOOKUP(C64,Merchants!$A$2:$D$41,2,FALSE),"Merchant not found")</f>
        <v>Merchant_005</v>
      </c>
      <c r="J64" t="str">
        <f>IFERROR(VLOOKUP(C64,Merchants!$A$2:$D$41,3,FALSE),"Merchant not found")</f>
        <v>recharge</v>
      </c>
      <c r="K64" t="str">
        <f>IFERROR(VLOOKUP(C64,Merchants!$A$2:$D$41,4,FALSE), "Merchant Not Fount")</f>
        <v>South</v>
      </c>
      <c r="L64" s="2">
        <f>HLOOKUP(F64,HLOOKUP_Reference!$A$1:$E$2,2,FALSE)</f>
        <v>2E-3</v>
      </c>
      <c r="M64">
        <f>SUMIFS(Daily_Merchant_Pivot!$E:$E,Daily_Merchant_Pivot!$A:$A,C64,Daily_Merchant_Pivot!$D:$D,INT(D64))</f>
        <v>299</v>
      </c>
      <c r="N64" t="str">
        <f t="shared" si="0"/>
        <v>Normal Merchant Day</v>
      </c>
      <c r="O64" s="7">
        <f t="shared" si="1"/>
        <v>46040</v>
      </c>
    </row>
    <row r="65" spans="1:15" x14ac:dyDescent="0.3">
      <c r="A65" t="s">
        <v>78</v>
      </c>
      <c r="B65">
        <v>216</v>
      </c>
      <c r="C65">
        <v>32</v>
      </c>
      <c r="D65" s="1">
        <v>46043.416666666664</v>
      </c>
      <c r="E65">
        <v>49</v>
      </c>
      <c r="F65" t="s">
        <v>24</v>
      </c>
      <c r="G65" t="s">
        <v>10</v>
      </c>
      <c r="H65">
        <v>13</v>
      </c>
      <c r="I65" t="str">
        <f>IFERROR(VLOOKUP(C65,Merchants!$A$2:$D$41,2,FALSE),"Merchant not found")</f>
        <v>Merchant_032</v>
      </c>
      <c r="J65" t="str">
        <f>IFERROR(VLOOKUP(C65,Merchants!$A$2:$D$41,3,FALSE),"Merchant not found")</f>
        <v>food_delivery</v>
      </c>
      <c r="K65" t="str">
        <f>IFERROR(VLOOKUP(C65,Merchants!$A$2:$D$41,4,FALSE), "Merchant Not Fount")</f>
        <v>West</v>
      </c>
      <c r="L65" s="2">
        <f>HLOOKUP(F65,HLOOKUP_Reference!$A$1:$E$2,2,FALSE)</f>
        <v>1.4999999999999999E-2</v>
      </c>
      <c r="M65">
        <f>SUMIFS(Daily_Merchant_Pivot!$E:$E,Daily_Merchant_Pivot!$A:$A,C65,Daily_Merchant_Pivot!$D:$D,INT(D65))</f>
        <v>348</v>
      </c>
      <c r="N65" t="str">
        <f t="shared" si="0"/>
        <v>Normal Merchant Day</v>
      </c>
      <c r="O65" s="7">
        <f t="shared" si="1"/>
        <v>46043</v>
      </c>
    </row>
    <row r="66" spans="1:15" x14ac:dyDescent="0.3">
      <c r="A66" t="s">
        <v>79</v>
      </c>
      <c r="B66">
        <v>236</v>
      </c>
      <c r="C66">
        <v>10</v>
      </c>
      <c r="D66" s="1">
        <v>46036.486111111109</v>
      </c>
      <c r="E66">
        <v>499</v>
      </c>
      <c r="F66" t="s">
        <v>12</v>
      </c>
      <c r="G66" t="s">
        <v>10</v>
      </c>
      <c r="H66">
        <v>55</v>
      </c>
      <c r="I66" t="str">
        <f>IFERROR(VLOOKUP(C66,Merchants!$A$2:$D$41,2,FALSE),"Merchant not found")</f>
        <v>Merchant_010</v>
      </c>
      <c r="J66" t="str">
        <f>IFERROR(VLOOKUP(C66,Merchants!$A$2:$D$41,3,FALSE),"Merchant not found")</f>
        <v>grocery</v>
      </c>
      <c r="K66" t="str">
        <f>IFERROR(VLOOKUP(C66,Merchants!$A$2:$D$41,4,FALSE), "Merchant Not Fount")</f>
        <v>West</v>
      </c>
      <c r="L66" s="2">
        <f>HLOOKUP(F66,HLOOKUP_Reference!$A$1:$E$2,2,FALSE)</f>
        <v>2E-3</v>
      </c>
      <c r="M66">
        <f>SUMIFS(Daily_Merchant_Pivot!$E:$E,Daily_Merchant_Pivot!$A:$A,C66,Daily_Merchant_Pivot!$D:$D,INT(D66))</f>
        <v>499</v>
      </c>
      <c r="N66" t="str">
        <f t="shared" si="0"/>
        <v>Normal Merchant Day</v>
      </c>
      <c r="O66" s="7">
        <f t="shared" si="1"/>
        <v>46036</v>
      </c>
    </row>
    <row r="67" spans="1:15" x14ac:dyDescent="0.3">
      <c r="A67" t="s">
        <v>80</v>
      </c>
      <c r="B67">
        <v>334</v>
      </c>
      <c r="C67">
        <v>18</v>
      </c>
      <c r="D67" s="1">
        <v>46028.981249999997</v>
      </c>
      <c r="E67">
        <v>499</v>
      </c>
      <c r="F67" t="s">
        <v>24</v>
      </c>
      <c r="G67" t="s">
        <v>10</v>
      </c>
      <c r="H67">
        <v>78</v>
      </c>
      <c r="I67" t="str">
        <f>IFERROR(VLOOKUP(C67,Merchants!$A$2:$D$41,2,FALSE),"Merchant not found")</f>
        <v>Merchant_018</v>
      </c>
      <c r="J67" t="str">
        <f>IFERROR(VLOOKUP(C67,Merchants!$A$2:$D$41,3,FALSE),"Merchant not found")</f>
        <v>grocery</v>
      </c>
      <c r="K67" t="str">
        <f>IFERROR(VLOOKUP(C67,Merchants!$A$2:$D$41,4,FALSE), "Merchant Not Fount")</f>
        <v>West</v>
      </c>
      <c r="L67" s="2">
        <f>HLOOKUP(F67,HLOOKUP_Reference!$A$1:$E$2,2,FALSE)</f>
        <v>1.4999999999999999E-2</v>
      </c>
      <c r="M67">
        <f>SUMIFS(Daily_Merchant_Pivot!$E:$E,Daily_Merchant_Pivot!$A:$A,C67,Daily_Merchant_Pivot!$D:$D,INT(D67))</f>
        <v>499</v>
      </c>
      <c r="N67" t="str">
        <f t="shared" ref="N67:N130" si="2">IF(AND(M67&gt;5000,K67&lt;&gt;"East"),"High-Value Merchant Day","Normal Merchant Day")</f>
        <v>Normal Merchant Day</v>
      </c>
      <c r="O67" s="7">
        <f t="shared" ref="O67:O130" si="3">INT(D67)</f>
        <v>46028</v>
      </c>
    </row>
    <row r="68" spans="1:15" x14ac:dyDescent="0.3">
      <c r="A68" t="s">
        <v>81</v>
      </c>
      <c r="B68">
        <v>248</v>
      </c>
      <c r="C68">
        <v>30</v>
      </c>
      <c r="D68" s="1">
        <v>46048.742361111108</v>
      </c>
      <c r="E68">
        <v>799</v>
      </c>
      <c r="F68" t="s">
        <v>9</v>
      </c>
      <c r="G68" t="s">
        <v>10</v>
      </c>
      <c r="H68">
        <v>55</v>
      </c>
      <c r="I68" t="str">
        <f>IFERROR(VLOOKUP(C68,Merchants!$A$2:$D$41,2,FALSE),"Merchant not found")</f>
        <v>Merchant_030</v>
      </c>
      <c r="J68" t="str">
        <f>IFERROR(VLOOKUP(C68,Merchants!$A$2:$D$41,3,FALSE),"Merchant not found")</f>
        <v>travel</v>
      </c>
      <c r="K68" t="str">
        <f>IFERROR(VLOOKUP(C68,Merchants!$A$2:$D$41,4,FALSE), "Merchant Not Fount")</f>
        <v>West</v>
      </c>
      <c r="L68" s="2">
        <f>HLOOKUP(F68,HLOOKUP_Reference!$A$1:$E$2,2,FALSE)</f>
        <v>6.4999999999999997E-3</v>
      </c>
      <c r="M68">
        <f>SUMIFS(Daily_Merchant_Pivot!$E:$E,Daily_Merchant_Pivot!$A:$A,C68,Daily_Merchant_Pivot!$D:$D,INT(D68))</f>
        <v>799</v>
      </c>
      <c r="N68" t="str">
        <f t="shared" si="2"/>
        <v>Normal Merchant Day</v>
      </c>
      <c r="O68" s="7">
        <f t="shared" si="3"/>
        <v>46048</v>
      </c>
    </row>
    <row r="69" spans="1:15" x14ac:dyDescent="0.3">
      <c r="A69" t="s">
        <v>82</v>
      </c>
      <c r="B69">
        <v>138</v>
      </c>
      <c r="C69">
        <v>21</v>
      </c>
      <c r="D69" s="1">
        <v>46049.984027777777</v>
      </c>
      <c r="E69">
        <v>49</v>
      </c>
      <c r="F69" t="s">
        <v>24</v>
      </c>
      <c r="G69" t="s">
        <v>10</v>
      </c>
      <c r="H69">
        <v>31</v>
      </c>
      <c r="I69" t="str">
        <f>IFERROR(VLOOKUP(C69,Merchants!$A$2:$D$41,2,FALSE),"Merchant not found")</f>
        <v>Merchant_021</v>
      </c>
      <c r="J69" t="str">
        <f>IFERROR(VLOOKUP(C69,Merchants!$A$2:$D$41,3,FALSE),"Merchant not found")</f>
        <v>food_delivery</v>
      </c>
      <c r="K69" t="str">
        <f>IFERROR(VLOOKUP(C69,Merchants!$A$2:$D$41,4,FALSE), "Merchant Not Fount")</f>
        <v>East</v>
      </c>
      <c r="L69" s="2">
        <f>HLOOKUP(F69,HLOOKUP_Reference!$A$1:$E$2,2,FALSE)</f>
        <v>1.4999999999999999E-2</v>
      </c>
      <c r="M69">
        <f>SUMIFS(Daily_Merchant_Pivot!$E:$E,Daily_Merchant_Pivot!$A:$A,C69,Daily_Merchant_Pivot!$D:$D,INT(D69))</f>
        <v>49</v>
      </c>
      <c r="N69" t="str">
        <f t="shared" si="2"/>
        <v>Normal Merchant Day</v>
      </c>
      <c r="O69" s="7">
        <f t="shared" si="3"/>
        <v>46049</v>
      </c>
    </row>
    <row r="70" spans="1:15" x14ac:dyDescent="0.3">
      <c r="A70" t="s">
        <v>83</v>
      </c>
      <c r="B70">
        <v>231</v>
      </c>
      <c r="C70">
        <v>16</v>
      </c>
      <c r="D70" s="1">
        <v>46049.095138888886</v>
      </c>
      <c r="E70">
        <v>49</v>
      </c>
      <c r="F70" t="s">
        <v>12</v>
      </c>
      <c r="G70" t="s">
        <v>10</v>
      </c>
      <c r="H70">
        <v>96</v>
      </c>
      <c r="I70" t="str">
        <f>IFERROR(VLOOKUP(C70,Merchants!$A$2:$D$41,2,FALSE),"Merchant not found")</f>
        <v>Merchant_016</v>
      </c>
      <c r="J70" t="str">
        <f>IFERROR(VLOOKUP(C70,Merchants!$A$2:$D$41,3,FALSE),"Merchant not found")</f>
        <v>bill_payment</v>
      </c>
      <c r="K70" t="str">
        <f>IFERROR(VLOOKUP(C70,Merchants!$A$2:$D$41,4,FALSE), "Merchant Not Fount")</f>
        <v>West</v>
      </c>
      <c r="L70" s="2">
        <f>HLOOKUP(F70,HLOOKUP_Reference!$A$1:$E$2,2,FALSE)</f>
        <v>2E-3</v>
      </c>
      <c r="M70">
        <f>SUMIFS(Daily_Merchant_Pivot!$E:$E,Daily_Merchant_Pivot!$A:$A,C70,Daily_Merchant_Pivot!$D:$D,INT(D70))</f>
        <v>348</v>
      </c>
      <c r="N70" t="str">
        <f t="shared" si="2"/>
        <v>Normal Merchant Day</v>
      </c>
      <c r="O70" s="7">
        <f t="shared" si="3"/>
        <v>46049</v>
      </c>
    </row>
    <row r="71" spans="1:15" x14ac:dyDescent="0.3">
      <c r="A71" t="s">
        <v>84</v>
      </c>
      <c r="B71">
        <v>343</v>
      </c>
      <c r="C71">
        <v>25</v>
      </c>
      <c r="D71" s="1">
        <v>46037.777083333334</v>
      </c>
      <c r="E71">
        <v>49</v>
      </c>
      <c r="F71" t="s">
        <v>12</v>
      </c>
      <c r="G71" t="s">
        <v>10</v>
      </c>
      <c r="H71">
        <v>43</v>
      </c>
      <c r="I71" t="str">
        <f>IFERROR(VLOOKUP(C71,Merchants!$A$2:$D$41,2,FALSE),"Merchant not found")</f>
        <v>Merchant_025</v>
      </c>
      <c r="J71" t="str">
        <f>IFERROR(VLOOKUP(C71,Merchants!$A$2:$D$41,3,FALSE),"Merchant not found")</f>
        <v>travel</v>
      </c>
      <c r="K71" t="str">
        <f>IFERROR(VLOOKUP(C71,Merchants!$A$2:$D$41,4,FALSE), "Merchant Not Fount")</f>
        <v>South</v>
      </c>
      <c r="L71" s="2">
        <f>HLOOKUP(F71,HLOOKUP_Reference!$A$1:$E$2,2,FALSE)</f>
        <v>2E-3</v>
      </c>
      <c r="M71">
        <f>SUMIFS(Daily_Merchant_Pivot!$E:$E,Daily_Merchant_Pivot!$A:$A,C71,Daily_Merchant_Pivot!$D:$D,INT(D71))</f>
        <v>49</v>
      </c>
      <c r="N71" t="str">
        <f t="shared" si="2"/>
        <v>Normal Merchant Day</v>
      </c>
      <c r="O71" s="7">
        <f t="shared" si="3"/>
        <v>46037</v>
      </c>
    </row>
    <row r="72" spans="1:15" x14ac:dyDescent="0.3">
      <c r="A72" t="s">
        <v>85</v>
      </c>
      <c r="B72">
        <v>167</v>
      </c>
      <c r="C72">
        <v>12</v>
      </c>
      <c r="D72" s="1">
        <v>46023.662499999999</v>
      </c>
      <c r="E72">
        <v>499</v>
      </c>
      <c r="F72" t="s">
        <v>9</v>
      </c>
      <c r="G72" t="s">
        <v>10</v>
      </c>
      <c r="H72">
        <v>62</v>
      </c>
      <c r="I72" t="str">
        <f>IFERROR(VLOOKUP(C72,Merchants!$A$2:$D$41,2,FALSE),"Merchant not found")</f>
        <v>Merchant_012</v>
      </c>
      <c r="J72" t="str">
        <f>IFERROR(VLOOKUP(C72,Merchants!$A$2:$D$41,3,FALSE),"Merchant not found")</f>
        <v>ecommerce</v>
      </c>
      <c r="K72" t="str">
        <f>IFERROR(VLOOKUP(C72,Merchants!$A$2:$D$41,4,FALSE), "Merchant Not Fount")</f>
        <v>East</v>
      </c>
      <c r="L72" s="2">
        <f>HLOOKUP(F72,HLOOKUP_Reference!$A$1:$E$2,2,FALSE)</f>
        <v>6.4999999999999997E-3</v>
      </c>
      <c r="M72">
        <f>SUMIFS(Daily_Merchant_Pivot!$E:$E,Daily_Merchant_Pivot!$A:$A,C72,Daily_Merchant_Pivot!$D:$D,INT(D72))</f>
        <v>548</v>
      </c>
      <c r="N72" t="str">
        <f t="shared" si="2"/>
        <v>Normal Merchant Day</v>
      </c>
      <c r="O72" s="7">
        <f t="shared" si="3"/>
        <v>46023</v>
      </c>
    </row>
    <row r="73" spans="1:15" x14ac:dyDescent="0.3">
      <c r="A73" t="s">
        <v>86</v>
      </c>
      <c r="B73">
        <v>133</v>
      </c>
      <c r="C73">
        <v>22</v>
      </c>
      <c r="D73" s="1">
        <v>46029.493750000001</v>
      </c>
      <c r="E73">
        <v>499</v>
      </c>
      <c r="F73" t="s">
        <v>12</v>
      </c>
      <c r="G73" t="s">
        <v>10</v>
      </c>
      <c r="H73">
        <v>35</v>
      </c>
      <c r="I73" t="str">
        <f>IFERROR(VLOOKUP(C73,Merchants!$A$2:$D$41,2,FALSE),"Merchant not found")</f>
        <v>Merchant_022</v>
      </c>
      <c r="J73" t="str">
        <f>IFERROR(VLOOKUP(C73,Merchants!$A$2:$D$41,3,FALSE),"Merchant not found")</f>
        <v>travel</v>
      </c>
      <c r="K73" t="str">
        <f>IFERROR(VLOOKUP(C73,Merchants!$A$2:$D$41,4,FALSE), "Merchant Not Fount")</f>
        <v>South</v>
      </c>
      <c r="L73" s="2">
        <f>HLOOKUP(F73,HLOOKUP_Reference!$A$1:$E$2,2,FALSE)</f>
        <v>2E-3</v>
      </c>
      <c r="M73">
        <f>SUMIFS(Daily_Merchant_Pivot!$E:$E,Daily_Merchant_Pivot!$A:$A,C73,Daily_Merchant_Pivot!$D:$D,INT(D73))</f>
        <v>499</v>
      </c>
      <c r="N73" t="str">
        <f t="shared" si="2"/>
        <v>Normal Merchant Day</v>
      </c>
      <c r="O73" s="7">
        <f t="shared" si="3"/>
        <v>46029</v>
      </c>
    </row>
    <row r="74" spans="1:15" x14ac:dyDescent="0.3">
      <c r="A74" t="s">
        <v>87</v>
      </c>
      <c r="B74">
        <v>142</v>
      </c>
      <c r="C74">
        <v>36</v>
      </c>
      <c r="D74" s="1">
        <v>46051.822222222225</v>
      </c>
      <c r="E74">
        <v>799</v>
      </c>
      <c r="F74" t="s">
        <v>9</v>
      </c>
      <c r="G74" t="s">
        <v>10</v>
      </c>
      <c r="H74">
        <v>1</v>
      </c>
      <c r="I74" t="str">
        <f>IFERROR(VLOOKUP(C74,Merchants!$A$2:$D$41,2,FALSE),"Merchant not found")</f>
        <v>Merchant_036</v>
      </c>
      <c r="J74" t="str">
        <f>IFERROR(VLOOKUP(C74,Merchants!$A$2:$D$41,3,FALSE),"Merchant not found")</f>
        <v>entertainment</v>
      </c>
      <c r="K74" t="str">
        <f>IFERROR(VLOOKUP(C74,Merchants!$A$2:$D$41,4,FALSE), "Merchant Not Fount")</f>
        <v>East</v>
      </c>
      <c r="L74" s="2">
        <f>HLOOKUP(F74,HLOOKUP_Reference!$A$1:$E$2,2,FALSE)</f>
        <v>6.4999999999999997E-3</v>
      </c>
      <c r="M74">
        <f>SUMIFS(Daily_Merchant_Pivot!$E:$E,Daily_Merchant_Pivot!$A:$A,C74,Daily_Merchant_Pivot!$D:$D,INT(D74))</f>
        <v>799</v>
      </c>
      <c r="N74" t="str">
        <f t="shared" si="2"/>
        <v>Normal Merchant Day</v>
      </c>
      <c r="O74" s="7">
        <f t="shared" si="3"/>
        <v>46051</v>
      </c>
    </row>
    <row r="75" spans="1:15" x14ac:dyDescent="0.3">
      <c r="A75" t="s">
        <v>88</v>
      </c>
      <c r="B75">
        <v>124</v>
      </c>
      <c r="C75">
        <v>27</v>
      </c>
      <c r="D75" s="1">
        <v>46039.253472222219</v>
      </c>
      <c r="E75">
        <v>499</v>
      </c>
      <c r="F75" t="s">
        <v>9</v>
      </c>
      <c r="G75" t="s">
        <v>10</v>
      </c>
      <c r="H75">
        <v>62</v>
      </c>
      <c r="I75" t="str">
        <f>IFERROR(VLOOKUP(C75,Merchants!$A$2:$D$41,2,FALSE),"Merchant not found")</f>
        <v>Merchant_027</v>
      </c>
      <c r="J75" t="str">
        <f>IFERROR(VLOOKUP(C75,Merchants!$A$2:$D$41,3,FALSE),"Merchant not found")</f>
        <v>ecommerce</v>
      </c>
      <c r="K75" t="str">
        <f>IFERROR(VLOOKUP(C75,Merchants!$A$2:$D$41,4,FALSE), "Merchant Not Fount")</f>
        <v>North</v>
      </c>
      <c r="L75" s="2">
        <f>HLOOKUP(F75,HLOOKUP_Reference!$A$1:$E$2,2,FALSE)</f>
        <v>6.4999999999999997E-3</v>
      </c>
      <c r="M75">
        <f>SUMIFS(Daily_Merchant_Pivot!$E:$E,Daily_Merchant_Pivot!$A:$A,C75,Daily_Merchant_Pivot!$D:$D,INT(D75))</f>
        <v>1597</v>
      </c>
      <c r="N75" t="str">
        <f t="shared" si="2"/>
        <v>Normal Merchant Day</v>
      </c>
      <c r="O75" s="7">
        <f t="shared" si="3"/>
        <v>46039</v>
      </c>
    </row>
    <row r="76" spans="1:15" x14ac:dyDescent="0.3">
      <c r="A76" t="s">
        <v>89</v>
      </c>
      <c r="B76">
        <v>244</v>
      </c>
      <c r="C76">
        <v>32</v>
      </c>
      <c r="D76" s="1">
        <v>46040.322222222225</v>
      </c>
      <c r="E76">
        <v>149</v>
      </c>
      <c r="F76" t="s">
        <v>12</v>
      </c>
      <c r="G76" t="s">
        <v>10</v>
      </c>
      <c r="H76">
        <v>57</v>
      </c>
      <c r="I76" t="str">
        <f>IFERROR(VLOOKUP(C76,Merchants!$A$2:$D$41,2,FALSE),"Merchant not found")</f>
        <v>Merchant_032</v>
      </c>
      <c r="J76" t="str">
        <f>IFERROR(VLOOKUP(C76,Merchants!$A$2:$D$41,3,FALSE),"Merchant not found")</f>
        <v>food_delivery</v>
      </c>
      <c r="K76" t="str">
        <f>IFERROR(VLOOKUP(C76,Merchants!$A$2:$D$41,4,FALSE), "Merchant Not Fount")</f>
        <v>West</v>
      </c>
      <c r="L76" s="2">
        <f>HLOOKUP(F76,HLOOKUP_Reference!$A$1:$E$2,2,FALSE)</f>
        <v>2E-3</v>
      </c>
      <c r="M76">
        <f>SUMIFS(Daily_Merchant_Pivot!$E:$E,Daily_Merchant_Pivot!$A:$A,C76,Daily_Merchant_Pivot!$D:$D,INT(D76))</f>
        <v>149</v>
      </c>
      <c r="N76" t="str">
        <f t="shared" si="2"/>
        <v>Normal Merchant Day</v>
      </c>
      <c r="O76" s="7">
        <f t="shared" si="3"/>
        <v>46040</v>
      </c>
    </row>
    <row r="77" spans="1:15" x14ac:dyDescent="0.3">
      <c r="A77" t="s">
        <v>90</v>
      </c>
      <c r="B77">
        <v>151</v>
      </c>
      <c r="C77">
        <v>15</v>
      </c>
      <c r="D77" s="1">
        <v>46048.003472222219</v>
      </c>
      <c r="E77">
        <v>4999</v>
      </c>
      <c r="F77" t="s">
        <v>12</v>
      </c>
      <c r="G77" t="s">
        <v>10</v>
      </c>
      <c r="H77">
        <v>51</v>
      </c>
      <c r="I77" t="str">
        <f>IFERROR(VLOOKUP(C77,Merchants!$A$2:$D$41,2,FALSE),"Merchant not found")</f>
        <v>Merchant_015</v>
      </c>
      <c r="J77" t="str">
        <f>IFERROR(VLOOKUP(C77,Merchants!$A$2:$D$41,3,FALSE),"Merchant not found")</f>
        <v>travel</v>
      </c>
      <c r="K77" t="str">
        <f>IFERROR(VLOOKUP(C77,Merchants!$A$2:$D$41,4,FALSE), "Merchant Not Fount")</f>
        <v>North</v>
      </c>
      <c r="L77" s="2">
        <f>HLOOKUP(F77,HLOOKUP_Reference!$A$1:$E$2,2,FALSE)</f>
        <v>2E-3</v>
      </c>
      <c r="M77">
        <f>SUMIFS(Daily_Merchant_Pivot!$E:$E,Daily_Merchant_Pivot!$A:$A,C77,Daily_Merchant_Pivot!$D:$D,INT(D77))</f>
        <v>4999</v>
      </c>
      <c r="N77" t="str">
        <f t="shared" si="2"/>
        <v>Normal Merchant Day</v>
      </c>
      <c r="O77" s="7">
        <f t="shared" si="3"/>
        <v>46048</v>
      </c>
    </row>
    <row r="78" spans="1:15" x14ac:dyDescent="0.3">
      <c r="A78" t="s">
        <v>91</v>
      </c>
      <c r="B78">
        <v>340</v>
      </c>
      <c r="C78">
        <v>38</v>
      </c>
      <c r="D78" s="1">
        <v>46045.304861111108</v>
      </c>
      <c r="E78">
        <v>499</v>
      </c>
      <c r="F78" t="s">
        <v>24</v>
      </c>
      <c r="G78" t="s">
        <v>10</v>
      </c>
      <c r="H78">
        <v>47</v>
      </c>
      <c r="I78" t="str">
        <f>IFERROR(VLOOKUP(C78,Merchants!$A$2:$D$41,2,FALSE),"Merchant not found")</f>
        <v>Merchant_038</v>
      </c>
      <c r="J78" t="str">
        <f>IFERROR(VLOOKUP(C78,Merchants!$A$2:$D$41,3,FALSE),"Merchant not found")</f>
        <v>grocery</v>
      </c>
      <c r="K78" t="str">
        <f>IFERROR(VLOOKUP(C78,Merchants!$A$2:$D$41,4,FALSE), "Merchant Not Fount")</f>
        <v>East</v>
      </c>
      <c r="L78" s="2">
        <f>HLOOKUP(F78,HLOOKUP_Reference!$A$1:$E$2,2,FALSE)</f>
        <v>1.4999999999999999E-2</v>
      </c>
      <c r="M78">
        <f>SUMIFS(Daily_Merchant_Pivot!$E:$E,Daily_Merchant_Pivot!$A:$A,C78,Daily_Merchant_Pivot!$D:$D,INT(D78))</f>
        <v>499</v>
      </c>
      <c r="N78" t="str">
        <f t="shared" si="2"/>
        <v>Normal Merchant Day</v>
      </c>
      <c r="O78" s="7">
        <f t="shared" si="3"/>
        <v>46045</v>
      </c>
    </row>
    <row r="79" spans="1:15" x14ac:dyDescent="0.3">
      <c r="A79" t="s">
        <v>92</v>
      </c>
      <c r="B79">
        <v>177</v>
      </c>
      <c r="C79">
        <v>28</v>
      </c>
      <c r="D79" s="1">
        <v>46038.731249999997</v>
      </c>
      <c r="E79">
        <v>299</v>
      </c>
      <c r="F79" t="s">
        <v>12</v>
      </c>
      <c r="G79" t="s">
        <v>10</v>
      </c>
      <c r="H79">
        <v>95</v>
      </c>
      <c r="I79" t="str">
        <f>IFERROR(VLOOKUP(C79,Merchants!$A$2:$D$41,2,FALSE),"Merchant not found")</f>
        <v>Merchant_028</v>
      </c>
      <c r="J79" t="str">
        <f>IFERROR(VLOOKUP(C79,Merchants!$A$2:$D$41,3,FALSE),"Merchant not found")</f>
        <v>ecommerce</v>
      </c>
      <c r="K79" t="str">
        <f>IFERROR(VLOOKUP(C79,Merchants!$A$2:$D$41,4,FALSE), "Merchant Not Fount")</f>
        <v>South</v>
      </c>
      <c r="L79" s="2">
        <f>HLOOKUP(F79,HLOOKUP_Reference!$A$1:$E$2,2,FALSE)</f>
        <v>2E-3</v>
      </c>
      <c r="M79">
        <f>SUMIFS(Daily_Merchant_Pivot!$E:$E,Daily_Merchant_Pivot!$A:$A,C79,Daily_Merchant_Pivot!$D:$D,INT(D79))</f>
        <v>299</v>
      </c>
      <c r="N79" t="str">
        <f t="shared" si="2"/>
        <v>Normal Merchant Day</v>
      </c>
      <c r="O79" s="7">
        <f t="shared" si="3"/>
        <v>46038</v>
      </c>
    </row>
    <row r="80" spans="1:15" x14ac:dyDescent="0.3">
      <c r="A80" t="s">
        <v>93</v>
      </c>
      <c r="B80">
        <v>233</v>
      </c>
      <c r="C80">
        <v>18</v>
      </c>
      <c r="D80" s="1">
        <v>46040.431944444441</v>
      </c>
      <c r="E80">
        <v>499</v>
      </c>
      <c r="F80" t="s">
        <v>12</v>
      </c>
      <c r="G80" t="s">
        <v>10</v>
      </c>
      <c r="H80">
        <v>39</v>
      </c>
      <c r="I80" t="str">
        <f>IFERROR(VLOOKUP(C80,Merchants!$A$2:$D$41,2,FALSE),"Merchant not found")</f>
        <v>Merchant_018</v>
      </c>
      <c r="J80" t="str">
        <f>IFERROR(VLOOKUP(C80,Merchants!$A$2:$D$41,3,FALSE),"Merchant not found")</f>
        <v>grocery</v>
      </c>
      <c r="K80" t="str">
        <f>IFERROR(VLOOKUP(C80,Merchants!$A$2:$D$41,4,FALSE), "Merchant Not Fount")</f>
        <v>West</v>
      </c>
      <c r="L80" s="2">
        <f>HLOOKUP(F80,HLOOKUP_Reference!$A$1:$E$2,2,FALSE)</f>
        <v>2E-3</v>
      </c>
      <c r="M80">
        <f>SUMIFS(Daily_Merchant_Pivot!$E:$E,Daily_Merchant_Pivot!$A:$A,C80,Daily_Merchant_Pivot!$D:$D,INT(D80))</f>
        <v>499</v>
      </c>
      <c r="N80" t="str">
        <f t="shared" si="2"/>
        <v>Normal Merchant Day</v>
      </c>
      <c r="O80" s="7">
        <f t="shared" si="3"/>
        <v>46040</v>
      </c>
    </row>
    <row r="81" spans="1:15" x14ac:dyDescent="0.3">
      <c r="A81" t="s">
        <v>94</v>
      </c>
      <c r="B81">
        <v>99</v>
      </c>
      <c r="C81">
        <v>21</v>
      </c>
      <c r="D81" s="1">
        <v>46031.296527777777</v>
      </c>
      <c r="E81">
        <v>499</v>
      </c>
      <c r="F81" t="s">
        <v>12</v>
      </c>
      <c r="G81" t="s">
        <v>10</v>
      </c>
      <c r="H81">
        <v>15</v>
      </c>
      <c r="I81" t="str">
        <f>IFERROR(VLOOKUP(C81,Merchants!$A$2:$D$41,2,FALSE),"Merchant not found")</f>
        <v>Merchant_021</v>
      </c>
      <c r="J81" t="str">
        <f>IFERROR(VLOOKUP(C81,Merchants!$A$2:$D$41,3,FALSE),"Merchant not found")</f>
        <v>food_delivery</v>
      </c>
      <c r="K81" t="str">
        <f>IFERROR(VLOOKUP(C81,Merchants!$A$2:$D$41,4,FALSE), "Merchant Not Fount")</f>
        <v>East</v>
      </c>
      <c r="L81" s="2">
        <f>HLOOKUP(F81,HLOOKUP_Reference!$A$1:$E$2,2,FALSE)</f>
        <v>2E-3</v>
      </c>
      <c r="M81">
        <f>SUMIFS(Daily_Merchant_Pivot!$E:$E,Daily_Merchant_Pivot!$A:$A,C81,Daily_Merchant_Pivot!$D:$D,INT(D81))</f>
        <v>499</v>
      </c>
      <c r="N81" t="str">
        <f t="shared" si="2"/>
        <v>Normal Merchant Day</v>
      </c>
      <c r="O81" s="7">
        <f t="shared" si="3"/>
        <v>46031</v>
      </c>
    </row>
    <row r="82" spans="1:15" x14ac:dyDescent="0.3">
      <c r="A82" t="s">
        <v>95</v>
      </c>
      <c r="B82">
        <v>95</v>
      </c>
      <c r="C82">
        <v>13</v>
      </c>
      <c r="D82" s="1">
        <v>46046.741666666669</v>
      </c>
      <c r="E82">
        <v>2999</v>
      </c>
      <c r="F82" t="s">
        <v>15</v>
      </c>
      <c r="G82" t="s">
        <v>25</v>
      </c>
      <c r="H82">
        <v>27</v>
      </c>
      <c r="I82" t="str">
        <f>IFERROR(VLOOKUP(C82,Merchants!$A$2:$D$41,2,FALSE),"Merchant not found")</f>
        <v>Merchant_013</v>
      </c>
      <c r="J82" t="str">
        <f>IFERROR(VLOOKUP(C82,Merchants!$A$2:$D$41,3,FALSE),"Merchant not found")</f>
        <v>travel</v>
      </c>
      <c r="K82" t="str">
        <f>IFERROR(VLOOKUP(C82,Merchants!$A$2:$D$41,4,FALSE), "Merchant Not Fount")</f>
        <v>East</v>
      </c>
      <c r="L82" s="2">
        <f>HLOOKUP(F82,HLOOKUP_Reference!$A$1:$E$2,2,FALSE)</f>
        <v>0.01</v>
      </c>
      <c r="M82">
        <f>SUMIFS(Daily_Merchant_Pivot!$E:$E,Daily_Merchant_Pivot!$A:$A,C82,Daily_Merchant_Pivot!$D:$D,INT(D82))</f>
        <v>2999</v>
      </c>
      <c r="N82" t="str">
        <f t="shared" si="2"/>
        <v>Normal Merchant Day</v>
      </c>
      <c r="O82" s="7">
        <f t="shared" si="3"/>
        <v>46046</v>
      </c>
    </row>
    <row r="83" spans="1:15" x14ac:dyDescent="0.3">
      <c r="A83" t="s">
        <v>96</v>
      </c>
      <c r="B83">
        <v>302</v>
      </c>
      <c r="C83">
        <v>34</v>
      </c>
      <c r="D83" s="1">
        <v>46046.636805555558</v>
      </c>
      <c r="E83">
        <v>49</v>
      </c>
      <c r="F83" t="s">
        <v>15</v>
      </c>
      <c r="G83" t="s">
        <v>10</v>
      </c>
      <c r="H83">
        <v>76</v>
      </c>
      <c r="I83" t="str">
        <f>IFERROR(VLOOKUP(C83,Merchants!$A$2:$D$41,2,FALSE),"Merchant not found")</f>
        <v>Merchant_034</v>
      </c>
      <c r="J83" t="str">
        <f>IFERROR(VLOOKUP(C83,Merchants!$A$2:$D$41,3,FALSE),"Merchant not found")</f>
        <v>travel</v>
      </c>
      <c r="K83" t="str">
        <f>IFERROR(VLOOKUP(C83,Merchants!$A$2:$D$41,4,FALSE), "Merchant Not Fount")</f>
        <v>South</v>
      </c>
      <c r="L83" s="2">
        <f>HLOOKUP(F83,HLOOKUP_Reference!$A$1:$E$2,2,FALSE)</f>
        <v>0.01</v>
      </c>
      <c r="M83">
        <f>SUMIFS(Daily_Merchant_Pivot!$E:$E,Daily_Merchant_Pivot!$A:$A,C83,Daily_Merchant_Pivot!$D:$D,INT(D83))</f>
        <v>548</v>
      </c>
      <c r="N83" t="str">
        <f t="shared" si="2"/>
        <v>Normal Merchant Day</v>
      </c>
      <c r="O83" s="7">
        <f t="shared" si="3"/>
        <v>46046</v>
      </c>
    </row>
    <row r="84" spans="1:15" x14ac:dyDescent="0.3">
      <c r="A84" t="s">
        <v>97</v>
      </c>
      <c r="B84">
        <v>100</v>
      </c>
      <c r="C84">
        <v>19</v>
      </c>
      <c r="D84" s="1">
        <v>46032.161805555559</v>
      </c>
      <c r="E84">
        <v>2999</v>
      </c>
      <c r="F84" t="s">
        <v>15</v>
      </c>
      <c r="G84" t="s">
        <v>10</v>
      </c>
      <c r="H84">
        <v>29</v>
      </c>
      <c r="I84" t="str">
        <f>IFERROR(VLOOKUP(C84,Merchants!$A$2:$D$41,2,FALSE),"Merchant not found")</f>
        <v>Merchant_019</v>
      </c>
      <c r="J84" t="str">
        <f>IFERROR(VLOOKUP(C84,Merchants!$A$2:$D$41,3,FALSE),"Merchant not found")</f>
        <v>grocery</v>
      </c>
      <c r="K84" t="str">
        <f>IFERROR(VLOOKUP(C84,Merchants!$A$2:$D$41,4,FALSE), "Merchant Not Fount")</f>
        <v>North</v>
      </c>
      <c r="L84" s="2">
        <f>HLOOKUP(F84,HLOOKUP_Reference!$A$1:$E$2,2,FALSE)</f>
        <v>0.01</v>
      </c>
      <c r="M84">
        <f>SUMIFS(Daily_Merchant_Pivot!$E:$E,Daily_Merchant_Pivot!$A:$A,C84,Daily_Merchant_Pivot!$D:$D,INT(D84))</f>
        <v>2999</v>
      </c>
      <c r="N84" t="str">
        <f t="shared" si="2"/>
        <v>Normal Merchant Day</v>
      </c>
      <c r="O84" s="7">
        <f t="shared" si="3"/>
        <v>46032</v>
      </c>
    </row>
    <row r="85" spans="1:15" x14ac:dyDescent="0.3">
      <c r="A85" t="s">
        <v>98</v>
      </c>
      <c r="B85">
        <v>8</v>
      </c>
      <c r="C85">
        <v>35</v>
      </c>
      <c r="D85" s="1">
        <v>46034.22152777778</v>
      </c>
      <c r="E85">
        <v>99</v>
      </c>
      <c r="F85" t="s">
        <v>12</v>
      </c>
      <c r="G85" t="s">
        <v>10</v>
      </c>
      <c r="H85">
        <v>16</v>
      </c>
      <c r="I85" t="str">
        <f>IFERROR(VLOOKUP(C85,Merchants!$A$2:$D$41,2,FALSE),"Merchant not found")</f>
        <v>Merchant_035</v>
      </c>
      <c r="J85" t="str">
        <f>IFERROR(VLOOKUP(C85,Merchants!$A$2:$D$41,3,FALSE),"Merchant not found")</f>
        <v>recharge</v>
      </c>
      <c r="K85" t="str">
        <f>IFERROR(VLOOKUP(C85,Merchants!$A$2:$D$41,4,FALSE), "Merchant Not Fount")</f>
        <v>East</v>
      </c>
      <c r="L85" s="2">
        <f>HLOOKUP(F85,HLOOKUP_Reference!$A$1:$E$2,2,FALSE)</f>
        <v>2E-3</v>
      </c>
      <c r="M85">
        <f>SUMIFS(Daily_Merchant_Pivot!$E:$E,Daily_Merchant_Pivot!$A:$A,C85,Daily_Merchant_Pivot!$D:$D,INT(D85))</f>
        <v>99</v>
      </c>
      <c r="N85" t="str">
        <f t="shared" si="2"/>
        <v>Normal Merchant Day</v>
      </c>
      <c r="O85" s="7">
        <f t="shared" si="3"/>
        <v>46034</v>
      </c>
    </row>
    <row r="86" spans="1:15" x14ac:dyDescent="0.3">
      <c r="A86" t="s">
        <v>99</v>
      </c>
      <c r="B86">
        <v>284</v>
      </c>
      <c r="C86">
        <v>19</v>
      </c>
      <c r="D86" s="1">
        <v>46031.043749999997</v>
      </c>
      <c r="E86">
        <v>99</v>
      </c>
      <c r="F86" t="s">
        <v>12</v>
      </c>
      <c r="G86" t="s">
        <v>10</v>
      </c>
      <c r="H86">
        <v>89</v>
      </c>
      <c r="I86" t="str">
        <f>IFERROR(VLOOKUP(C86,Merchants!$A$2:$D$41,2,FALSE),"Merchant not found")</f>
        <v>Merchant_019</v>
      </c>
      <c r="J86" t="str">
        <f>IFERROR(VLOOKUP(C86,Merchants!$A$2:$D$41,3,FALSE),"Merchant not found")</f>
        <v>grocery</v>
      </c>
      <c r="K86" t="str">
        <f>IFERROR(VLOOKUP(C86,Merchants!$A$2:$D$41,4,FALSE), "Merchant Not Fount")</f>
        <v>North</v>
      </c>
      <c r="L86" s="2">
        <f>HLOOKUP(F86,HLOOKUP_Reference!$A$1:$E$2,2,FALSE)</f>
        <v>2E-3</v>
      </c>
      <c r="M86">
        <f>SUMIFS(Daily_Merchant_Pivot!$E:$E,Daily_Merchant_Pivot!$A:$A,C86,Daily_Merchant_Pivot!$D:$D,INT(D86))</f>
        <v>99</v>
      </c>
      <c r="N86" t="str">
        <f t="shared" si="2"/>
        <v>Normal Merchant Day</v>
      </c>
      <c r="O86" s="7">
        <f t="shared" si="3"/>
        <v>46031</v>
      </c>
    </row>
    <row r="87" spans="1:15" x14ac:dyDescent="0.3">
      <c r="A87" t="s">
        <v>100</v>
      </c>
      <c r="B87">
        <v>252</v>
      </c>
      <c r="C87">
        <v>7</v>
      </c>
      <c r="D87" s="1">
        <v>46027.871527777781</v>
      </c>
      <c r="E87">
        <v>2999</v>
      </c>
      <c r="F87" t="s">
        <v>9</v>
      </c>
      <c r="G87" t="s">
        <v>10</v>
      </c>
      <c r="H87">
        <v>1</v>
      </c>
      <c r="I87" t="str">
        <f>IFERROR(VLOOKUP(C87,Merchants!$A$2:$D$41,2,FALSE),"Merchant not found")</f>
        <v>Merchant_007</v>
      </c>
      <c r="J87" t="str">
        <f>IFERROR(VLOOKUP(C87,Merchants!$A$2:$D$41,3,FALSE),"Merchant not found")</f>
        <v>food_delivery</v>
      </c>
      <c r="K87" t="str">
        <f>IFERROR(VLOOKUP(C87,Merchants!$A$2:$D$41,4,FALSE), "Merchant Not Fount")</f>
        <v>East</v>
      </c>
      <c r="L87" s="2">
        <f>HLOOKUP(F87,HLOOKUP_Reference!$A$1:$E$2,2,FALSE)</f>
        <v>6.4999999999999997E-3</v>
      </c>
      <c r="M87">
        <f>SUMIFS(Daily_Merchant_Pivot!$E:$E,Daily_Merchant_Pivot!$A:$A,C87,Daily_Merchant_Pivot!$D:$D,INT(D87))</f>
        <v>4498</v>
      </c>
      <c r="N87" t="str">
        <f t="shared" si="2"/>
        <v>Normal Merchant Day</v>
      </c>
      <c r="O87" s="7">
        <f t="shared" si="3"/>
        <v>46027</v>
      </c>
    </row>
    <row r="88" spans="1:15" x14ac:dyDescent="0.3">
      <c r="A88" t="s">
        <v>101</v>
      </c>
      <c r="B88">
        <v>246</v>
      </c>
      <c r="C88">
        <v>29</v>
      </c>
      <c r="D88" s="1">
        <v>46041.395833333336</v>
      </c>
      <c r="E88">
        <v>49</v>
      </c>
      <c r="F88" t="s">
        <v>9</v>
      </c>
      <c r="G88" t="s">
        <v>10</v>
      </c>
      <c r="H88">
        <v>43</v>
      </c>
      <c r="I88" t="str">
        <f>IFERROR(VLOOKUP(C88,Merchants!$A$2:$D$41,2,FALSE),"Merchant not found")</f>
        <v>Merchant_029</v>
      </c>
      <c r="J88" t="str">
        <f>IFERROR(VLOOKUP(C88,Merchants!$A$2:$D$41,3,FALSE),"Merchant not found")</f>
        <v>ecommerce</v>
      </c>
      <c r="K88" t="str">
        <f>IFERROR(VLOOKUP(C88,Merchants!$A$2:$D$41,4,FALSE), "Merchant Not Fount")</f>
        <v>North</v>
      </c>
      <c r="L88" s="2">
        <f>HLOOKUP(F88,HLOOKUP_Reference!$A$1:$E$2,2,FALSE)</f>
        <v>6.4999999999999997E-3</v>
      </c>
      <c r="M88">
        <f>SUMIFS(Daily_Merchant_Pivot!$E:$E,Daily_Merchant_Pivot!$A:$A,C88,Daily_Merchant_Pivot!$D:$D,INT(D88))</f>
        <v>49</v>
      </c>
      <c r="N88" t="str">
        <f t="shared" si="2"/>
        <v>Normal Merchant Day</v>
      </c>
      <c r="O88" s="7">
        <f t="shared" si="3"/>
        <v>46041</v>
      </c>
    </row>
    <row r="89" spans="1:15" x14ac:dyDescent="0.3">
      <c r="A89" t="s">
        <v>102</v>
      </c>
      <c r="B89">
        <v>245</v>
      </c>
      <c r="C89">
        <v>8</v>
      </c>
      <c r="D89" s="1">
        <v>46028.052777777775</v>
      </c>
      <c r="E89">
        <v>49</v>
      </c>
      <c r="F89" t="s">
        <v>12</v>
      </c>
      <c r="G89" t="s">
        <v>38</v>
      </c>
      <c r="H89">
        <v>8</v>
      </c>
      <c r="I89" t="str">
        <f>IFERROR(VLOOKUP(C89,Merchants!$A$2:$D$41,2,FALSE),"Merchant not found")</f>
        <v>Merchant_008</v>
      </c>
      <c r="J89" t="str">
        <f>IFERROR(VLOOKUP(C89,Merchants!$A$2:$D$41,3,FALSE),"Merchant not found")</f>
        <v>food_delivery</v>
      </c>
      <c r="K89" t="str">
        <f>IFERROR(VLOOKUP(C89,Merchants!$A$2:$D$41,4,FALSE), "Merchant Not Fount")</f>
        <v>North</v>
      </c>
      <c r="L89" s="2">
        <f>HLOOKUP(F89,HLOOKUP_Reference!$A$1:$E$2,2,FALSE)</f>
        <v>2E-3</v>
      </c>
      <c r="M89">
        <f>SUMIFS(Daily_Merchant_Pivot!$E:$E,Daily_Merchant_Pivot!$A:$A,C89,Daily_Merchant_Pivot!$D:$D,INT(D89))</f>
        <v>49</v>
      </c>
      <c r="N89" t="str">
        <f t="shared" si="2"/>
        <v>Normal Merchant Day</v>
      </c>
      <c r="O89" s="7">
        <f t="shared" si="3"/>
        <v>46028</v>
      </c>
    </row>
    <row r="90" spans="1:15" x14ac:dyDescent="0.3">
      <c r="A90" t="s">
        <v>103</v>
      </c>
      <c r="B90">
        <v>296</v>
      </c>
      <c r="C90">
        <v>4</v>
      </c>
      <c r="D90" s="1">
        <v>46035.62777777778</v>
      </c>
      <c r="E90">
        <v>799</v>
      </c>
      <c r="F90" t="s">
        <v>9</v>
      </c>
      <c r="G90" t="s">
        <v>10</v>
      </c>
      <c r="H90">
        <v>19</v>
      </c>
      <c r="I90" t="str">
        <f>IFERROR(VLOOKUP(C90,Merchants!$A$2:$D$41,2,FALSE),"Merchant not found")</f>
        <v>Merchant_004</v>
      </c>
      <c r="J90" t="str">
        <f>IFERROR(VLOOKUP(C90,Merchants!$A$2:$D$41,3,FALSE),"Merchant not found")</f>
        <v>ecommerce</v>
      </c>
      <c r="K90" t="str">
        <f>IFERROR(VLOOKUP(C90,Merchants!$A$2:$D$41,4,FALSE), "Merchant Not Fount")</f>
        <v>East</v>
      </c>
      <c r="L90" s="2">
        <f>HLOOKUP(F90,HLOOKUP_Reference!$A$1:$E$2,2,FALSE)</f>
        <v>6.4999999999999997E-3</v>
      </c>
      <c r="M90">
        <f>SUMIFS(Daily_Merchant_Pivot!$E:$E,Daily_Merchant_Pivot!$A:$A,C90,Daily_Merchant_Pivot!$D:$D,INT(D90))</f>
        <v>948</v>
      </c>
      <c r="N90" t="str">
        <f t="shared" si="2"/>
        <v>Normal Merchant Day</v>
      </c>
      <c r="O90" s="7">
        <f t="shared" si="3"/>
        <v>46035</v>
      </c>
    </row>
    <row r="91" spans="1:15" x14ac:dyDescent="0.3">
      <c r="A91" t="s">
        <v>104</v>
      </c>
      <c r="B91">
        <v>44</v>
      </c>
      <c r="C91">
        <v>16</v>
      </c>
      <c r="D91" s="1">
        <v>46027.763194444444</v>
      </c>
      <c r="E91">
        <v>149</v>
      </c>
      <c r="F91" t="s">
        <v>12</v>
      </c>
      <c r="G91" t="s">
        <v>10</v>
      </c>
      <c r="H91">
        <v>15</v>
      </c>
      <c r="I91" t="str">
        <f>IFERROR(VLOOKUP(C91,Merchants!$A$2:$D$41,2,FALSE),"Merchant not found")</f>
        <v>Merchant_016</v>
      </c>
      <c r="J91" t="str">
        <f>IFERROR(VLOOKUP(C91,Merchants!$A$2:$D$41,3,FALSE),"Merchant not found")</f>
        <v>bill_payment</v>
      </c>
      <c r="K91" t="str">
        <f>IFERROR(VLOOKUP(C91,Merchants!$A$2:$D$41,4,FALSE), "Merchant Not Fount")</f>
        <v>West</v>
      </c>
      <c r="L91" s="2">
        <f>HLOOKUP(F91,HLOOKUP_Reference!$A$1:$E$2,2,FALSE)</f>
        <v>2E-3</v>
      </c>
      <c r="M91">
        <f>SUMIFS(Daily_Merchant_Pivot!$E:$E,Daily_Merchant_Pivot!$A:$A,C91,Daily_Merchant_Pivot!$D:$D,INT(D91))</f>
        <v>149</v>
      </c>
      <c r="N91" t="str">
        <f t="shared" si="2"/>
        <v>Normal Merchant Day</v>
      </c>
      <c r="O91" s="7">
        <f t="shared" si="3"/>
        <v>46027</v>
      </c>
    </row>
    <row r="92" spans="1:15" x14ac:dyDescent="0.3">
      <c r="A92" t="s">
        <v>105</v>
      </c>
      <c r="B92">
        <v>306</v>
      </c>
      <c r="C92">
        <v>40</v>
      </c>
      <c r="D92" s="1">
        <v>46040.568055555559</v>
      </c>
      <c r="E92">
        <v>799</v>
      </c>
      <c r="F92" t="s">
        <v>24</v>
      </c>
      <c r="G92" t="s">
        <v>10</v>
      </c>
      <c r="H92">
        <v>28</v>
      </c>
      <c r="I92" t="str">
        <f>IFERROR(VLOOKUP(C92,Merchants!$A$2:$D$41,2,FALSE),"Merchant not found")</f>
        <v>Merchant_040</v>
      </c>
      <c r="J92" t="str">
        <f>IFERROR(VLOOKUP(C92,Merchants!$A$2:$D$41,3,FALSE),"Merchant not found")</f>
        <v>entertainment</v>
      </c>
      <c r="K92" t="str">
        <f>IFERROR(VLOOKUP(C92,Merchants!$A$2:$D$41,4,FALSE), "Merchant Not Fount")</f>
        <v>South</v>
      </c>
      <c r="L92" s="2">
        <f>HLOOKUP(F92,HLOOKUP_Reference!$A$1:$E$2,2,FALSE)</f>
        <v>1.4999999999999999E-2</v>
      </c>
      <c r="M92">
        <f>SUMIFS(Daily_Merchant_Pivot!$E:$E,Daily_Merchant_Pivot!$A:$A,C92,Daily_Merchant_Pivot!$D:$D,INT(D92))</f>
        <v>799</v>
      </c>
      <c r="N92" t="str">
        <f t="shared" si="2"/>
        <v>Normal Merchant Day</v>
      </c>
      <c r="O92" s="7">
        <f t="shared" si="3"/>
        <v>46040</v>
      </c>
    </row>
    <row r="93" spans="1:15" x14ac:dyDescent="0.3">
      <c r="A93" t="s">
        <v>106</v>
      </c>
      <c r="B93">
        <v>231</v>
      </c>
      <c r="C93">
        <v>29</v>
      </c>
      <c r="D93" s="1">
        <v>46047.683333333334</v>
      </c>
      <c r="E93">
        <v>299</v>
      </c>
      <c r="F93" t="s">
        <v>12</v>
      </c>
      <c r="G93" t="s">
        <v>10</v>
      </c>
      <c r="H93">
        <v>38</v>
      </c>
      <c r="I93" t="str">
        <f>IFERROR(VLOOKUP(C93,Merchants!$A$2:$D$41,2,FALSE),"Merchant not found")</f>
        <v>Merchant_029</v>
      </c>
      <c r="J93" t="str">
        <f>IFERROR(VLOOKUP(C93,Merchants!$A$2:$D$41,3,FALSE),"Merchant not found")</f>
        <v>ecommerce</v>
      </c>
      <c r="K93" t="str">
        <f>IFERROR(VLOOKUP(C93,Merchants!$A$2:$D$41,4,FALSE), "Merchant Not Fount")</f>
        <v>North</v>
      </c>
      <c r="L93" s="2">
        <f>HLOOKUP(F93,HLOOKUP_Reference!$A$1:$E$2,2,FALSE)</f>
        <v>2E-3</v>
      </c>
      <c r="M93">
        <f>SUMIFS(Daily_Merchant_Pivot!$E:$E,Daily_Merchant_Pivot!$A:$A,C93,Daily_Merchant_Pivot!$D:$D,INT(D93))</f>
        <v>3896</v>
      </c>
      <c r="N93" t="str">
        <f t="shared" si="2"/>
        <v>Normal Merchant Day</v>
      </c>
      <c r="O93" s="7">
        <f t="shared" si="3"/>
        <v>46047</v>
      </c>
    </row>
    <row r="94" spans="1:15" x14ac:dyDescent="0.3">
      <c r="A94" t="s">
        <v>107</v>
      </c>
      <c r="B94">
        <v>157</v>
      </c>
      <c r="C94">
        <v>37</v>
      </c>
      <c r="D94" s="1">
        <v>46050.768750000003</v>
      </c>
      <c r="E94">
        <v>499</v>
      </c>
      <c r="F94" t="s">
        <v>9</v>
      </c>
      <c r="G94" t="s">
        <v>10</v>
      </c>
      <c r="H94">
        <v>79</v>
      </c>
      <c r="I94" t="str">
        <f>IFERROR(VLOOKUP(C94,Merchants!$A$2:$D$41,2,FALSE),"Merchant not found")</f>
        <v>Merchant_037</v>
      </c>
      <c r="J94" t="str">
        <f>IFERROR(VLOOKUP(C94,Merchants!$A$2:$D$41,3,FALSE),"Merchant not found")</f>
        <v>entertainment</v>
      </c>
      <c r="K94" t="str">
        <f>IFERROR(VLOOKUP(C94,Merchants!$A$2:$D$41,4,FALSE), "Merchant Not Fount")</f>
        <v>South</v>
      </c>
      <c r="L94" s="2">
        <f>HLOOKUP(F94,HLOOKUP_Reference!$A$1:$E$2,2,FALSE)</f>
        <v>6.4999999999999997E-3</v>
      </c>
      <c r="M94">
        <f>SUMIFS(Daily_Merchant_Pivot!$E:$E,Daily_Merchant_Pivot!$A:$A,C94,Daily_Merchant_Pivot!$D:$D,INT(D94))</f>
        <v>697</v>
      </c>
      <c r="N94" t="str">
        <f t="shared" si="2"/>
        <v>Normal Merchant Day</v>
      </c>
      <c r="O94" s="7">
        <f t="shared" si="3"/>
        <v>46050</v>
      </c>
    </row>
    <row r="95" spans="1:15" x14ac:dyDescent="0.3">
      <c r="A95" t="s">
        <v>108</v>
      </c>
      <c r="B95">
        <v>51</v>
      </c>
      <c r="C95">
        <v>14</v>
      </c>
      <c r="D95" s="1">
        <v>46024.824305555558</v>
      </c>
      <c r="E95">
        <v>1499</v>
      </c>
      <c r="F95" t="s">
        <v>12</v>
      </c>
      <c r="G95" t="s">
        <v>10</v>
      </c>
      <c r="H95">
        <v>80</v>
      </c>
      <c r="I95" t="str">
        <f>IFERROR(VLOOKUP(C95,Merchants!$A$2:$D$41,2,FALSE),"Merchant not found")</f>
        <v>Merchant_014</v>
      </c>
      <c r="J95" t="str">
        <f>IFERROR(VLOOKUP(C95,Merchants!$A$2:$D$41,3,FALSE),"Merchant not found")</f>
        <v>grocery</v>
      </c>
      <c r="K95" t="str">
        <f>IFERROR(VLOOKUP(C95,Merchants!$A$2:$D$41,4,FALSE), "Merchant Not Fount")</f>
        <v>East</v>
      </c>
      <c r="L95" s="2">
        <f>HLOOKUP(F95,HLOOKUP_Reference!$A$1:$E$2,2,FALSE)</f>
        <v>2E-3</v>
      </c>
      <c r="M95">
        <f>SUMIFS(Daily_Merchant_Pivot!$E:$E,Daily_Merchant_Pivot!$A:$A,C95,Daily_Merchant_Pivot!$D:$D,INT(D95))</f>
        <v>1499</v>
      </c>
      <c r="N95" t="str">
        <f t="shared" si="2"/>
        <v>Normal Merchant Day</v>
      </c>
      <c r="O95" s="7">
        <f t="shared" si="3"/>
        <v>46024</v>
      </c>
    </row>
    <row r="96" spans="1:15" x14ac:dyDescent="0.3">
      <c r="A96" t="s">
        <v>109</v>
      </c>
      <c r="B96">
        <v>42</v>
      </c>
      <c r="C96">
        <v>11</v>
      </c>
      <c r="D96" s="1">
        <v>46029.362500000003</v>
      </c>
      <c r="E96">
        <v>49</v>
      </c>
      <c r="F96" t="s">
        <v>9</v>
      </c>
      <c r="G96" t="s">
        <v>10</v>
      </c>
      <c r="H96">
        <v>30</v>
      </c>
      <c r="I96" t="str">
        <f>IFERROR(VLOOKUP(C96,Merchants!$A$2:$D$41,2,FALSE),"Merchant not found")</f>
        <v>Merchant_011</v>
      </c>
      <c r="J96" t="str">
        <f>IFERROR(VLOOKUP(C96,Merchants!$A$2:$D$41,3,FALSE),"Merchant not found")</f>
        <v>ecommerce</v>
      </c>
      <c r="K96" t="str">
        <f>IFERROR(VLOOKUP(C96,Merchants!$A$2:$D$41,4,FALSE), "Merchant Not Fount")</f>
        <v>North</v>
      </c>
      <c r="L96" s="2">
        <f>HLOOKUP(F96,HLOOKUP_Reference!$A$1:$E$2,2,FALSE)</f>
        <v>6.4999999999999997E-3</v>
      </c>
      <c r="M96">
        <f>SUMIFS(Daily_Merchant_Pivot!$E:$E,Daily_Merchant_Pivot!$A:$A,C96,Daily_Merchant_Pivot!$D:$D,INT(D96))</f>
        <v>49</v>
      </c>
      <c r="N96" t="str">
        <f t="shared" si="2"/>
        <v>Normal Merchant Day</v>
      </c>
      <c r="O96" s="7">
        <f t="shared" si="3"/>
        <v>46029</v>
      </c>
    </row>
    <row r="97" spans="1:15" x14ac:dyDescent="0.3">
      <c r="A97" t="s">
        <v>110</v>
      </c>
      <c r="B97">
        <v>81</v>
      </c>
      <c r="C97">
        <v>1</v>
      </c>
      <c r="D97" s="1">
        <v>46028.711111111108</v>
      </c>
      <c r="E97">
        <v>149</v>
      </c>
      <c r="F97" t="s">
        <v>12</v>
      </c>
      <c r="G97" t="s">
        <v>10</v>
      </c>
      <c r="H97">
        <v>52</v>
      </c>
      <c r="I97" t="str">
        <f>IFERROR(VLOOKUP(C97,Merchants!$A$2:$D$41,2,FALSE),"Merchant not found")</f>
        <v>Merchant_001</v>
      </c>
      <c r="J97" t="str">
        <f>IFERROR(VLOOKUP(C97,Merchants!$A$2:$D$41,3,FALSE),"Merchant not found")</f>
        <v>ecommerce</v>
      </c>
      <c r="K97" t="str">
        <f>IFERROR(VLOOKUP(C97,Merchants!$A$2:$D$41,4,FALSE), "Merchant Not Fount")</f>
        <v>South</v>
      </c>
      <c r="L97" s="2">
        <f>HLOOKUP(F97,HLOOKUP_Reference!$A$1:$E$2,2,FALSE)</f>
        <v>2E-3</v>
      </c>
      <c r="M97">
        <f>SUMIFS(Daily_Merchant_Pivot!$E:$E,Daily_Merchant_Pivot!$A:$A,C97,Daily_Merchant_Pivot!$D:$D,INT(D97))</f>
        <v>149</v>
      </c>
      <c r="N97" t="str">
        <f t="shared" si="2"/>
        <v>Normal Merchant Day</v>
      </c>
      <c r="O97" s="7">
        <f t="shared" si="3"/>
        <v>46028</v>
      </c>
    </row>
    <row r="98" spans="1:15" x14ac:dyDescent="0.3">
      <c r="A98" t="s">
        <v>111</v>
      </c>
      <c r="B98">
        <v>241</v>
      </c>
      <c r="C98">
        <v>19</v>
      </c>
      <c r="D98" s="1">
        <v>46037.943055555559</v>
      </c>
      <c r="E98">
        <v>299</v>
      </c>
      <c r="F98" t="s">
        <v>12</v>
      </c>
      <c r="G98" t="s">
        <v>10</v>
      </c>
      <c r="H98">
        <v>4</v>
      </c>
      <c r="I98" t="str">
        <f>IFERROR(VLOOKUP(C98,Merchants!$A$2:$D$41,2,FALSE),"Merchant not found")</f>
        <v>Merchant_019</v>
      </c>
      <c r="J98" t="str">
        <f>IFERROR(VLOOKUP(C98,Merchants!$A$2:$D$41,3,FALSE),"Merchant not found")</f>
        <v>grocery</v>
      </c>
      <c r="K98" t="str">
        <f>IFERROR(VLOOKUP(C98,Merchants!$A$2:$D$41,4,FALSE), "Merchant Not Fount")</f>
        <v>North</v>
      </c>
      <c r="L98" s="2">
        <f>HLOOKUP(F98,HLOOKUP_Reference!$A$1:$E$2,2,FALSE)</f>
        <v>2E-3</v>
      </c>
      <c r="M98">
        <f>SUMIFS(Daily_Merchant_Pivot!$E:$E,Daily_Merchant_Pivot!$A:$A,C98,Daily_Merchant_Pivot!$D:$D,INT(D98))</f>
        <v>398</v>
      </c>
      <c r="N98" t="str">
        <f t="shared" si="2"/>
        <v>Normal Merchant Day</v>
      </c>
      <c r="O98" s="7">
        <f t="shared" si="3"/>
        <v>46037</v>
      </c>
    </row>
    <row r="99" spans="1:15" x14ac:dyDescent="0.3">
      <c r="A99" t="s">
        <v>112</v>
      </c>
      <c r="B99">
        <v>145</v>
      </c>
      <c r="C99">
        <v>30</v>
      </c>
      <c r="D99" s="1">
        <v>46030.40625</v>
      </c>
      <c r="E99">
        <v>799</v>
      </c>
      <c r="F99" t="s">
        <v>12</v>
      </c>
      <c r="G99" t="s">
        <v>10</v>
      </c>
      <c r="H99">
        <v>9</v>
      </c>
      <c r="I99" t="str">
        <f>IFERROR(VLOOKUP(C99,Merchants!$A$2:$D$41,2,FALSE),"Merchant not found")</f>
        <v>Merchant_030</v>
      </c>
      <c r="J99" t="str">
        <f>IFERROR(VLOOKUP(C99,Merchants!$A$2:$D$41,3,FALSE),"Merchant not found")</f>
        <v>travel</v>
      </c>
      <c r="K99" t="str">
        <f>IFERROR(VLOOKUP(C99,Merchants!$A$2:$D$41,4,FALSE), "Merchant Not Fount")</f>
        <v>West</v>
      </c>
      <c r="L99" s="2">
        <f>HLOOKUP(F99,HLOOKUP_Reference!$A$1:$E$2,2,FALSE)</f>
        <v>2E-3</v>
      </c>
      <c r="M99">
        <f>SUMIFS(Daily_Merchant_Pivot!$E:$E,Daily_Merchant_Pivot!$A:$A,C99,Daily_Merchant_Pivot!$D:$D,INT(D99))</f>
        <v>1197</v>
      </c>
      <c r="N99" t="str">
        <f t="shared" si="2"/>
        <v>Normal Merchant Day</v>
      </c>
      <c r="O99" s="7">
        <f t="shared" si="3"/>
        <v>46030</v>
      </c>
    </row>
    <row r="100" spans="1:15" x14ac:dyDescent="0.3">
      <c r="A100" t="s">
        <v>113</v>
      </c>
      <c r="B100">
        <v>136</v>
      </c>
      <c r="C100">
        <v>38</v>
      </c>
      <c r="D100" s="1">
        <v>46044.332638888889</v>
      </c>
      <c r="E100">
        <v>299</v>
      </c>
      <c r="F100" t="s">
        <v>24</v>
      </c>
      <c r="G100" t="s">
        <v>10</v>
      </c>
      <c r="H100">
        <v>84</v>
      </c>
      <c r="I100" t="str">
        <f>IFERROR(VLOOKUP(C100,Merchants!$A$2:$D$41,2,FALSE),"Merchant not found")</f>
        <v>Merchant_038</v>
      </c>
      <c r="J100" t="str">
        <f>IFERROR(VLOOKUP(C100,Merchants!$A$2:$D$41,3,FALSE),"Merchant not found")</f>
        <v>grocery</v>
      </c>
      <c r="K100" t="str">
        <f>IFERROR(VLOOKUP(C100,Merchants!$A$2:$D$41,4,FALSE), "Merchant Not Fount")</f>
        <v>East</v>
      </c>
      <c r="L100" s="2">
        <f>HLOOKUP(F100,HLOOKUP_Reference!$A$1:$E$2,2,FALSE)</f>
        <v>1.4999999999999999E-2</v>
      </c>
      <c r="M100">
        <f>SUMIFS(Daily_Merchant_Pivot!$E:$E,Daily_Merchant_Pivot!$A:$A,C100,Daily_Merchant_Pivot!$D:$D,INT(D100))</f>
        <v>299</v>
      </c>
      <c r="N100" t="str">
        <f t="shared" si="2"/>
        <v>Normal Merchant Day</v>
      </c>
      <c r="O100" s="7">
        <f t="shared" si="3"/>
        <v>46044</v>
      </c>
    </row>
    <row r="101" spans="1:15" x14ac:dyDescent="0.3">
      <c r="A101" t="s">
        <v>114</v>
      </c>
      <c r="B101">
        <v>59</v>
      </c>
      <c r="C101">
        <v>35</v>
      </c>
      <c r="D101" s="1">
        <v>46048.268750000003</v>
      </c>
      <c r="E101">
        <v>499</v>
      </c>
      <c r="F101" t="s">
        <v>12</v>
      </c>
      <c r="G101" t="s">
        <v>10</v>
      </c>
      <c r="H101">
        <v>28</v>
      </c>
      <c r="I101" t="str">
        <f>IFERROR(VLOOKUP(C101,Merchants!$A$2:$D$41,2,FALSE),"Merchant not found")</f>
        <v>Merchant_035</v>
      </c>
      <c r="J101" t="str">
        <f>IFERROR(VLOOKUP(C101,Merchants!$A$2:$D$41,3,FALSE),"Merchant not found")</f>
        <v>recharge</v>
      </c>
      <c r="K101" t="str">
        <f>IFERROR(VLOOKUP(C101,Merchants!$A$2:$D$41,4,FALSE), "Merchant Not Fount")</f>
        <v>East</v>
      </c>
      <c r="L101" s="2">
        <f>HLOOKUP(F101,HLOOKUP_Reference!$A$1:$E$2,2,FALSE)</f>
        <v>2E-3</v>
      </c>
      <c r="M101">
        <f>SUMIFS(Daily_Merchant_Pivot!$E:$E,Daily_Merchant_Pivot!$A:$A,C101,Daily_Merchant_Pivot!$D:$D,INT(D101))</f>
        <v>499</v>
      </c>
      <c r="N101" t="str">
        <f t="shared" si="2"/>
        <v>Normal Merchant Day</v>
      </c>
      <c r="O101" s="7">
        <f t="shared" si="3"/>
        <v>46048</v>
      </c>
    </row>
    <row r="102" spans="1:15" x14ac:dyDescent="0.3">
      <c r="A102" t="s">
        <v>115</v>
      </c>
      <c r="B102">
        <v>137</v>
      </c>
      <c r="C102">
        <v>10</v>
      </c>
      <c r="D102" s="1">
        <v>46043.206944444442</v>
      </c>
      <c r="E102">
        <v>299</v>
      </c>
      <c r="F102" t="s">
        <v>12</v>
      </c>
      <c r="G102" t="s">
        <v>10</v>
      </c>
      <c r="H102">
        <v>9</v>
      </c>
      <c r="I102" t="str">
        <f>IFERROR(VLOOKUP(C102,Merchants!$A$2:$D$41,2,FALSE),"Merchant not found")</f>
        <v>Merchant_010</v>
      </c>
      <c r="J102" t="str">
        <f>IFERROR(VLOOKUP(C102,Merchants!$A$2:$D$41,3,FALSE),"Merchant not found")</f>
        <v>grocery</v>
      </c>
      <c r="K102" t="str">
        <f>IFERROR(VLOOKUP(C102,Merchants!$A$2:$D$41,4,FALSE), "Merchant Not Fount")</f>
        <v>West</v>
      </c>
      <c r="L102" s="2">
        <f>HLOOKUP(F102,HLOOKUP_Reference!$A$1:$E$2,2,FALSE)</f>
        <v>2E-3</v>
      </c>
      <c r="M102">
        <f>SUMIFS(Daily_Merchant_Pivot!$E:$E,Daily_Merchant_Pivot!$A:$A,C102,Daily_Merchant_Pivot!$D:$D,INT(D102))</f>
        <v>398</v>
      </c>
      <c r="N102" t="str">
        <f t="shared" si="2"/>
        <v>Normal Merchant Day</v>
      </c>
      <c r="O102" s="7">
        <f t="shared" si="3"/>
        <v>46043</v>
      </c>
    </row>
    <row r="103" spans="1:15" x14ac:dyDescent="0.3">
      <c r="A103" t="s">
        <v>116</v>
      </c>
      <c r="B103">
        <v>158</v>
      </c>
      <c r="C103">
        <v>39</v>
      </c>
      <c r="D103" s="1">
        <v>46024.243055555555</v>
      </c>
      <c r="E103">
        <v>499</v>
      </c>
      <c r="F103" t="s">
        <v>15</v>
      </c>
      <c r="G103" t="s">
        <v>10</v>
      </c>
      <c r="H103">
        <v>95</v>
      </c>
      <c r="I103" t="str">
        <f>IFERROR(VLOOKUP(C103,Merchants!$A$2:$D$41,2,FALSE),"Merchant not found")</f>
        <v>Merchant_039</v>
      </c>
      <c r="J103" t="str">
        <f>IFERROR(VLOOKUP(C103,Merchants!$A$2:$D$41,3,FALSE),"Merchant not found")</f>
        <v>entertainment</v>
      </c>
      <c r="K103" t="str">
        <f>IFERROR(VLOOKUP(C103,Merchants!$A$2:$D$41,4,FALSE), "Merchant Not Fount")</f>
        <v>North</v>
      </c>
      <c r="L103" s="2">
        <f>HLOOKUP(F103,HLOOKUP_Reference!$A$1:$E$2,2,FALSE)</f>
        <v>0.01</v>
      </c>
      <c r="M103">
        <f>SUMIFS(Daily_Merchant_Pivot!$E:$E,Daily_Merchant_Pivot!$A:$A,C103,Daily_Merchant_Pivot!$D:$D,INT(D103))</f>
        <v>499</v>
      </c>
      <c r="N103" t="str">
        <f t="shared" si="2"/>
        <v>Normal Merchant Day</v>
      </c>
      <c r="O103" s="7">
        <f t="shared" si="3"/>
        <v>46024</v>
      </c>
    </row>
    <row r="104" spans="1:15" x14ac:dyDescent="0.3">
      <c r="A104" t="s">
        <v>117</v>
      </c>
      <c r="B104">
        <v>148</v>
      </c>
      <c r="C104">
        <v>29</v>
      </c>
      <c r="D104" s="1">
        <v>46049.790277777778</v>
      </c>
      <c r="E104">
        <v>99</v>
      </c>
      <c r="F104" t="s">
        <v>24</v>
      </c>
      <c r="G104" t="s">
        <v>10</v>
      </c>
      <c r="H104">
        <v>15</v>
      </c>
      <c r="I104" t="str">
        <f>IFERROR(VLOOKUP(C104,Merchants!$A$2:$D$41,2,FALSE),"Merchant not found")</f>
        <v>Merchant_029</v>
      </c>
      <c r="J104" t="str">
        <f>IFERROR(VLOOKUP(C104,Merchants!$A$2:$D$41,3,FALSE),"Merchant not found")</f>
        <v>ecommerce</v>
      </c>
      <c r="K104" t="str">
        <f>IFERROR(VLOOKUP(C104,Merchants!$A$2:$D$41,4,FALSE), "Merchant Not Fount")</f>
        <v>North</v>
      </c>
      <c r="L104" s="2">
        <f>HLOOKUP(F104,HLOOKUP_Reference!$A$1:$E$2,2,FALSE)</f>
        <v>1.4999999999999999E-2</v>
      </c>
      <c r="M104">
        <f>SUMIFS(Daily_Merchant_Pivot!$E:$E,Daily_Merchant_Pivot!$A:$A,C104,Daily_Merchant_Pivot!$D:$D,INT(D104))</f>
        <v>898</v>
      </c>
      <c r="N104" t="str">
        <f t="shared" si="2"/>
        <v>Normal Merchant Day</v>
      </c>
      <c r="O104" s="7">
        <f t="shared" si="3"/>
        <v>46049</v>
      </c>
    </row>
    <row r="105" spans="1:15" x14ac:dyDescent="0.3">
      <c r="A105" t="s">
        <v>118</v>
      </c>
      <c r="B105">
        <v>207</v>
      </c>
      <c r="C105">
        <v>18</v>
      </c>
      <c r="D105" s="1">
        <v>46037.929861111108</v>
      </c>
      <c r="E105">
        <v>149</v>
      </c>
      <c r="F105" t="s">
        <v>12</v>
      </c>
      <c r="G105" t="s">
        <v>10</v>
      </c>
      <c r="H105">
        <v>64</v>
      </c>
      <c r="I105" t="str">
        <f>IFERROR(VLOOKUP(C105,Merchants!$A$2:$D$41,2,FALSE),"Merchant not found")</f>
        <v>Merchant_018</v>
      </c>
      <c r="J105" t="str">
        <f>IFERROR(VLOOKUP(C105,Merchants!$A$2:$D$41,3,FALSE),"Merchant not found")</f>
        <v>grocery</v>
      </c>
      <c r="K105" t="str">
        <f>IFERROR(VLOOKUP(C105,Merchants!$A$2:$D$41,4,FALSE), "Merchant Not Fount")</f>
        <v>West</v>
      </c>
      <c r="L105" s="2">
        <f>HLOOKUP(F105,HLOOKUP_Reference!$A$1:$E$2,2,FALSE)</f>
        <v>2E-3</v>
      </c>
      <c r="M105">
        <f>SUMIFS(Daily_Merchant_Pivot!$E:$E,Daily_Merchant_Pivot!$A:$A,C105,Daily_Merchant_Pivot!$D:$D,INT(D105))</f>
        <v>149</v>
      </c>
      <c r="N105" t="str">
        <f t="shared" si="2"/>
        <v>Normal Merchant Day</v>
      </c>
      <c r="O105" s="7">
        <f t="shared" si="3"/>
        <v>46037</v>
      </c>
    </row>
    <row r="106" spans="1:15" x14ac:dyDescent="0.3">
      <c r="A106" t="s">
        <v>119</v>
      </c>
      <c r="B106">
        <v>42</v>
      </c>
      <c r="C106">
        <v>39</v>
      </c>
      <c r="D106" s="1">
        <v>46040.644444444442</v>
      </c>
      <c r="E106">
        <v>2999</v>
      </c>
      <c r="F106" t="s">
        <v>24</v>
      </c>
      <c r="G106" t="s">
        <v>10</v>
      </c>
      <c r="H106">
        <v>5</v>
      </c>
      <c r="I106" t="str">
        <f>IFERROR(VLOOKUP(C106,Merchants!$A$2:$D$41,2,FALSE),"Merchant not found")</f>
        <v>Merchant_039</v>
      </c>
      <c r="J106" t="str">
        <f>IFERROR(VLOOKUP(C106,Merchants!$A$2:$D$41,3,FALSE),"Merchant not found")</f>
        <v>entertainment</v>
      </c>
      <c r="K106" t="str">
        <f>IFERROR(VLOOKUP(C106,Merchants!$A$2:$D$41,4,FALSE), "Merchant Not Fount")</f>
        <v>North</v>
      </c>
      <c r="L106" s="2">
        <f>HLOOKUP(F106,HLOOKUP_Reference!$A$1:$E$2,2,FALSE)</f>
        <v>1.4999999999999999E-2</v>
      </c>
      <c r="M106">
        <f>SUMIFS(Daily_Merchant_Pivot!$E:$E,Daily_Merchant_Pivot!$A:$A,C106,Daily_Merchant_Pivot!$D:$D,INT(D106))</f>
        <v>2999</v>
      </c>
      <c r="N106" t="str">
        <f t="shared" si="2"/>
        <v>Normal Merchant Day</v>
      </c>
      <c r="O106" s="7">
        <f t="shared" si="3"/>
        <v>46040</v>
      </c>
    </row>
    <row r="107" spans="1:15" x14ac:dyDescent="0.3">
      <c r="A107" t="s">
        <v>120</v>
      </c>
      <c r="B107">
        <v>166</v>
      </c>
      <c r="C107">
        <v>39</v>
      </c>
      <c r="D107" s="1">
        <v>46051.574305555558</v>
      </c>
      <c r="E107">
        <v>149</v>
      </c>
      <c r="F107" t="s">
        <v>12</v>
      </c>
      <c r="G107" t="s">
        <v>10</v>
      </c>
      <c r="H107">
        <v>32</v>
      </c>
      <c r="I107" t="str">
        <f>IFERROR(VLOOKUP(C107,Merchants!$A$2:$D$41,2,FALSE),"Merchant not found")</f>
        <v>Merchant_039</v>
      </c>
      <c r="J107" t="str">
        <f>IFERROR(VLOOKUP(C107,Merchants!$A$2:$D$41,3,FALSE),"Merchant not found")</f>
        <v>entertainment</v>
      </c>
      <c r="K107" t="str">
        <f>IFERROR(VLOOKUP(C107,Merchants!$A$2:$D$41,4,FALSE), "Merchant Not Fount")</f>
        <v>North</v>
      </c>
      <c r="L107" s="2">
        <f>HLOOKUP(F107,HLOOKUP_Reference!$A$1:$E$2,2,FALSE)</f>
        <v>2E-3</v>
      </c>
      <c r="M107">
        <f>SUMIFS(Daily_Merchant_Pivot!$E:$E,Daily_Merchant_Pivot!$A:$A,C107,Daily_Merchant_Pivot!$D:$D,INT(D107))</f>
        <v>149</v>
      </c>
      <c r="N107" t="str">
        <f t="shared" si="2"/>
        <v>Normal Merchant Day</v>
      </c>
      <c r="O107" s="7">
        <f t="shared" si="3"/>
        <v>46051</v>
      </c>
    </row>
    <row r="108" spans="1:15" x14ac:dyDescent="0.3">
      <c r="A108" t="s">
        <v>121</v>
      </c>
      <c r="B108">
        <v>346</v>
      </c>
      <c r="C108">
        <v>37</v>
      </c>
      <c r="D108" s="1">
        <v>46023.093055555553</v>
      </c>
      <c r="E108">
        <v>99</v>
      </c>
      <c r="F108" t="s">
        <v>12</v>
      </c>
      <c r="G108" t="s">
        <v>10</v>
      </c>
      <c r="H108">
        <v>75</v>
      </c>
      <c r="I108" t="str">
        <f>IFERROR(VLOOKUP(C108,Merchants!$A$2:$D$41,2,FALSE),"Merchant not found")</f>
        <v>Merchant_037</v>
      </c>
      <c r="J108" t="str">
        <f>IFERROR(VLOOKUP(C108,Merchants!$A$2:$D$41,3,FALSE),"Merchant not found")</f>
        <v>entertainment</v>
      </c>
      <c r="K108" t="str">
        <f>IFERROR(VLOOKUP(C108,Merchants!$A$2:$D$41,4,FALSE), "Merchant Not Fount")</f>
        <v>South</v>
      </c>
      <c r="L108" s="2">
        <f>HLOOKUP(F108,HLOOKUP_Reference!$A$1:$E$2,2,FALSE)</f>
        <v>2E-3</v>
      </c>
      <c r="M108">
        <f>SUMIFS(Daily_Merchant_Pivot!$E:$E,Daily_Merchant_Pivot!$A:$A,C108,Daily_Merchant_Pivot!$D:$D,INT(D108))</f>
        <v>598</v>
      </c>
      <c r="N108" t="str">
        <f t="shared" si="2"/>
        <v>Normal Merchant Day</v>
      </c>
      <c r="O108" s="7">
        <f t="shared" si="3"/>
        <v>46023</v>
      </c>
    </row>
    <row r="109" spans="1:15" x14ac:dyDescent="0.3">
      <c r="A109" t="s">
        <v>122</v>
      </c>
      <c r="B109">
        <v>138</v>
      </c>
      <c r="C109">
        <v>37</v>
      </c>
      <c r="D109" s="1">
        <v>46023.911111111112</v>
      </c>
      <c r="E109">
        <v>499</v>
      </c>
      <c r="F109" t="s">
        <v>12</v>
      </c>
      <c r="G109" t="s">
        <v>10</v>
      </c>
      <c r="H109">
        <v>5</v>
      </c>
      <c r="I109" t="str">
        <f>IFERROR(VLOOKUP(C109,Merchants!$A$2:$D$41,2,FALSE),"Merchant not found")</f>
        <v>Merchant_037</v>
      </c>
      <c r="J109" t="str">
        <f>IFERROR(VLOOKUP(C109,Merchants!$A$2:$D$41,3,FALSE),"Merchant not found")</f>
        <v>entertainment</v>
      </c>
      <c r="K109" t="str">
        <f>IFERROR(VLOOKUP(C109,Merchants!$A$2:$D$41,4,FALSE), "Merchant Not Fount")</f>
        <v>South</v>
      </c>
      <c r="L109" s="2">
        <f>HLOOKUP(F109,HLOOKUP_Reference!$A$1:$E$2,2,FALSE)</f>
        <v>2E-3</v>
      </c>
      <c r="M109">
        <f>SUMIFS(Daily_Merchant_Pivot!$E:$E,Daily_Merchant_Pivot!$A:$A,C109,Daily_Merchant_Pivot!$D:$D,INT(D109))</f>
        <v>598</v>
      </c>
      <c r="N109" t="str">
        <f t="shared" si="2"/>
        <v>Normal Merchant Day</v>
      </c>
      <c r="O109" s="7">
        <f t="shared" si="3"/>
        <v>46023</v>
      </c>
    </row>
    <row r="110" spans="1:15" x14ac:dyDescent="0.3">
      <c r="A110" t="s">
        <v>123</v>
      </c>
      <c r="B110">
        <v>266</v>
      </c>
      <c r="C110">
        <v>29</v>
      </c>
      <c r="D110" s="1">
        <v>46047.229166666664</v>
      </c>
      <c r="E110">
        <v>499</v>
      </c>
      <c r="F110" t="s">
        <v>9</v>
      </c>
      <c r="G110" t="s">
        <v>25</v>
      </c>
      <c r="H110">
        <v>35</v>
      </c>
      <c r="I110" t="str">
        <f>IFERROR(VLOOKUP(C110,Merchants!$A$2:$D$41,2,FALSE),"Merchant not found")</f>
        <v>Merchant_029</v>
      </c>
      <c r="J110" t="str">
        <f>IFERROR(VLOOKUP(C110,Merchants!$A$2:$D$41,3,FALSE),"Merchant not found")</f>
        <v>ecommerce</v>
      </c>
      <c r="K110" t="str">
        <f>IFERROR(VLOOKUP(C110,Merchants!$A$2:$D$41,4,FALSE), "Merchant Not Fount")</f>
        <v>North</v>
      </c>
      <c r="L110" s="2">
        <f>HLOOKUP(F110,HLOOKUP_Reference!$A$1:$E$2,2,FALSE)</f>
        <v>6.4999999999999997E-3</v>
      </c>
      <c r="M110">
        <f>SUMIFS(Daily_Merchant_Pivot!$E:$E,Daily_Merchant_Pivot!$A:$A,C110,Daily_Merchant_Pivot!$D:$D,INT(D110))</f>
        <v>3896</v>
      </c>
      <c r="N110" t="str">
        <f t="shared" si="2"/>
        <v>Normal Merchant Day</v>
      </c>
      <c r="O110" s="7">
        <f t="shared" si="3"/>
        <v>46047</v>
      </c>
    </row>
    <row r="111" spans="1:15" x14ac:dyDescent="0.3">
      <c r="A111" t="s">
        <v>124</v>
      </c>
      <c r="B111">
        <v>326</v>
      </c>
      <c r="C111">
        <v>32</v>
      </c>
      <c r="D111" s="1">
        <v>46028.768750000003</v>
      </c>
      <c r="E111">
        <v>149</v>
      </c>
      <c r="F111" t="s">
        <v>12</v>
      </c>
      <c r="G111" t="s">
        <v>10</v>
      </c>
      <c r="H111">
        <v>11</v>
      </c>
      <c r="I111" t="str">
        <f>IFERROR(VLOOKUP(C111,Merchants!$A$2:$D$41,2,FALSE),"Merchant not found")</f>
        <v>Merchant_032</v>
      </c>
      <c r="J111" t="str">
        <f>IFERROR(VLOOKUP(C111,Merchants!$A$2:$D$41,3,FALSE),"Merchant not found")</f>
        <v>food_delivery</v>
      </c>
      <c r="K111" t="str">
        <f>IFERROR(VLOOKUP(C111,Merchants!$A$2:$D$41,4,FALSE), "Merchant Not Fount")</f>
        <v>West</v>
      </c>
      <c r="L111" s="2">
        <f>HLOOKUP(F111,HLOOKUP_Reference!$A$1:$E$2,2,FALSE)</f>
        <v>2E-3</v>
      </c>
      <c r="M111">
        <f>SUMIFS(Daily_Merchant_Pivot!$E:$E,Daily_Merchant_Pivot!$A:$A,C111,Daily_Merchant_Pivot!$D:$D,INT(D111))</f>
        <v>149</v>
      </c>
      <c r="N111" t="str">
        <f t="shared" si="2"/>
        <v>Normal Merchant Day</v>
      </c>
      <c r="O111" s="7">
        <f t="shared" si="3"/>
        <v>46028</v>
      </c>
    </row>
    <row r="112" spans="1:15" x14ac:dyDescent="0.3">
      <c r="A112" t="s">
        <v>125</v>
      </c>
      <c r="B112">
        <v>171</v>
      </c>
      <c r="C112">
        <v>21</v>
      </c>
      <c r="D112" s="1">
        <v>46038.476388888892</v>
      </c>
      <c r="E112">
        <v>799</v>
      </c>
      <c r="F112" t="s">
        <v>12</v>
      </c>
      <c r="G112" t="s">
        <v>10</v>
      </c>
      <c r="H112">
        <v>85</v>
      </c>
      <c r="I112" t="str">
        <f>IFERROR(VLOOKUP(C112,Merchants!$A$2:$D$41,2,FALSE),"Merchant not found")</f>
        <v>Merchant_021</v>
      </c>
      <c r="J112" t="str">
        <f>IFERROR(VLOOKUP(C112,Merchants!$A$2:$D$41,3,FALSE),"Merchant not found")</f>
        <v>food_delivery</v>
      </c>
      <c r="K112" t="str">
        <f>IFERROR(VLOOKUP(C112,Merchants!$A$2:$D$41,4,FALSE), "Merchant Not Fount")</f>
        <v>East</v>
      </c>
      <c r="L112" s="2">
        <f>HLOOKUP(F112,HLOOKUP_Reference!$A$1:$E$2,2,FALSE)</f>
        <v>2E-3</v>
      </c>
      <c r="M112">
        <f>SUMIFS(Daily_Merchant_Pivot!$E:$E,Daily_Merchant_Pivot!$A:$A,C112,Daily_Merchant_Pivot!$D:$D,INT(D112))</f>
        <v>799</v>
      </c>
      <c r="N112" t="str">
        <f t="shared" si="2"/>
        <v>Normal Merchant Day</v>
      </c>
      <c r="O112" s="7">
        <f t="shared" si="3"/>
        <v>46038</v>
      </c>
    </row>
    <row r="113" spans="1:15" x14ac:dyDescent="0.3">
      <c r="A113" t="s">
        <v>126</v>
      </c>
      <c r="B113">
        <v>211</v>
      </c>
      <c r="C113">
        <v>32</v>
      </c>
      <c r="D113" s="1">
        <v>46026.222916666666</v>
      </c>
      <c r="E113">
        <v>49</v>
      </c>
      <c r="F113" t="s">
        <v>12</v>
      </c>
      <c r="G113" t="s">
        <v>10</v>
      </c>
      <c r="H113">
        <v>36</v>
      </c>
      <c r="I113" t="str">
        <f>IFERROR(VLOOKUP(C113,Merchants!$A$2:$D$41,2,FALSE),"Merchant not found")</f>
        <v>Merchant_032</v>
      </c>
      <c r="J113" t="str">
        <f>IFERROR(VLOOKUP(C113,Merchants!$A$2:$D$41,3,FALSE),"Merchant not found")</f>
        <v>food_delivery</v>
      </c>
      <c r="K113" t="str">
        <f>IFERROR(VLOOKUP(C113,Merchants!$A$2:$D$41,4,FALSE), "Merchant Not Fount")</f>
        <v>West</v>
      </c>
      <c r="L113" s="2">
        <f>HLOOKUP(F113,HLOOKUP_Reference!$A$1:$E$2,2,FALSE)</f>
        <v>2E-3</v>
      </c>
      <c r="M113">
        <f>SUMIFS(Daily_Merchant_Pivot!$E:$E,Daily_Merchant_Pivot!$A:$A,C113,Daily_Merchant_Pivot!$D:$D,INT(D113))</f>
        <v>49</v>
      </c>
      <c r="N113" t="str">
        <f t="shared" si="2"/>
        <v>Normal Merchant Day</v>
      </c>
      <c r="O113" s="7">
        <f t="shared" si="3"/>
        <v>46026</v>
      </c>
    </row>
    <row r="114" spans="1:15" x14ac:dyDescent="0.3">
      <c r="A114" t="s">
        <v>127</v>
      </c>
      <c r="B114">
        <v>282</v>
      </c>
      <c r="C114">
        <v>3</v>
      </c>
      <c r="D114" s="1">
        <v>46044.536111111112</v>
      </c>
      <c r="E114">
        <v>499</v>
      </c>
      <c r="F114" t="s">
        <v>12</v>
      </c>
      <c r="G114" t="s">
        <v>10</v>
      </c>
      <c r="H114">
        <v>58</v>
      </c>
      <c r="I114" t="str">
        <f>IFERROR(VLOOKUP(C114,Merchants!$A$2:$D$41,2,FALSE),"Merchant not found")</f>
        <v>Merchant_003</v>
      </c>
      <c r="J114" t="str">
        <f>IFERROR(VLOOKUP(C114,Merchants!$A$2:$D$41,3,FALSE),"Merchant not found")</f>
        <v>grocery</v>
      </c>
      <c r="K114" t="str">
        <f>IFERROR(VLOOKUP(C114,Merchants!$A$2:$D$41,4,FALSE), "Merchant Not Fount")</f>
        <v>East</v>
      </c>
      <c r="L114" s="2">
        <f>HLOOKUP(F114,HLOOKUP_Reference!$A$1:$E$2,2,FALSE)</f>
        <v>2E-3</v>
      </c>
      <c r="M114">
        <f>SUMIFS(Daily_Merchant_Pivot!$E:$E,Daily_Merchant_Pivot!$A:$A,C114,Daily_Merchant_Pivot!$D:$D,INT(D114))</f>
        <v>499</v>
      </c>
      <c r="N114" t="str">
        <f t="shared" si="2"/>
        <v>Normal Merchant Day</v>
      </c>
      <c r="O114" s="7">
        <f t="shared" si="3"/>
        <v>46044</v>
      </c>
    </row>
    <row r="115" spans="1:15" x14ac:dyDescent="0.3">
      <c r="A115" t="s">
        <v>128</v>
      </c>
      <c r="B115">
        <v>166</v>
      </c>
      <c r="C115">
        <v>8</v>
      </c>
      <c r="D115" s="1">
        <v>46025.427777777775</v>
      </c>
      <c r="E115">
        <v>299</v>
      </c>
      <c r="F115" t="s">
        <v>12</v>
      </c>
      <c r="G115" t="s">
        <v>10</v>
      </c>
      <c r="H115">
        <v>98</v>
      </c>
      <c r="I115" t="str">
        <f>IFERROR(VLOOKUP(C115,Merchants!$A$2:$D$41,2,FALSE),"Merchant not found")</f>
        <v>Merchant_008</v>
      </c>
      <c r="J115" t="str">
        <f>IFERROR(VLOOKUP(C115,Merchants!$A$2:$D$41,3,FALSE),"Merchant not found")</f>
        <v>food_delivery</v>
      </c>
      <c r="K115" t="str">
        <f>IFERROR(VLOOKUP(C115,Merchants!$A$2:$D$41,4,FALSE), "Merchant Not Fount")</f>
        <v>North</v>
      </c>
      <c r="L115" s="2">
        <f>HLOOKUP(F115,HLOOKUP_Reference!$A$1:$E$2,2,FALSE)</f>
        <v>2E-3</v>
      </c>
      <c r="M115">
        <f>SUMIFS(Daily_Merchant_Pivot!$E:$E,Daily_Merchant_Pivot!$A:$A,C115,Daily_Merchant_Pivot!$D:$D,INT(D115))</f>
        <v>299</v>
      </c>
      <c r="N115" t="str">
        <f t="shared" si="2"/>
        <v>Normal Merchant Day</v>
      </c>
      <c r="O115" s="7">
        <f t="shared" si="3"/>
        <v>46025</v>
      </c>
    </row>
    <row r="116" spans="1:15" x14ac:dyDescent="0.3">
      <c r="A116" t="s">
        <v>129</v>
      </c>
      <c r="B116">
        <v>1</v>
      </c>
      <c r="C116">
        <v>35</v>
      </c>
      <c r="D116" s="1">
        <v>46035.702777777777</v>
      </c>
      <c r="E116">
        <v>149</v>
      </c>
      <c r="F116" t="s">
        <v>12</v>
      </c>
      <c r="G116" t="s">
        <v>10</v>
      </c>
      <c r="H116">
        <v>59</v>
      </c>
      <c r="I116" t="str">
        <f>IFERROR(VLOOKUP(C116,Merchants!$A$2:$D$41,2,FALSE),"Merchant not found")</f>
        <v>Merchant_035</v>
      </c>
      <c r="J116" t="str">
        <f>IFERROR(VLOOKUP(C116,Merchants!$A$2:$D$41,3,FALSE),"Merchant not found")</f>
        <v>recharge</v>
      </c>
      <c r="K116" t="str">
        <f>IFERROR(VLOOKUP(C116,Merchants!$A$2:$D$41,4,FALSE), "Merchant Not Fount")</f>
        <v>East</v>
      </c>
      <c r="L116" s="2">
        <f>HLOOKUP(F116,HLOOKUP_Reference!$A$1:$E$2,2,FALSE)</f>
        <v>2E-3</v>
      </c>
      <c r="M116">
        <f>SUMIFS(Daily_Merchant_Pivot!$E:$E,Daily_Merchant_Pivot!$A:$A,C116,Daily_Merchant_Pivot!$D:$D,INT(D116))</f>
        <v>149</v>
      </c>
      <c r="N116" t="str">
        <f t="shared" si="2"/>
        <v>Normal Merchant Day</v>
      </c>
      <c r="O116" s="7">
        <f t="shared" si="3"/>
        <v>46035</v>
      </c>
    </row>
    <row r="117" spans="1:15" x14ac:dyDescent="0.3">
      <c r="A117" t="s">
        <v>130</v>
      </c>
      <c r="B117">
        <v>266</v>
      </c>
      <c r="C117">
        <v>24</v>
      </c>
      <c r="D117" s="1">
        <v>46036.05</v>
      </c>
      <c r="E117">
        <v>499</v>
      </c>
      <c r="F117" t="s">
        <v>12</v>
      </c>
      <c r="G117" t="s">
        <v>10</v>
      </c>
      <c r="H117">
        <v>79</v>
      </c>
      <c r="I117" t="str">
        <f>IFERROR(VLOOKUP(C117,Merchants!$A$2:$D$41,2,FALSE),"Merchant not found")</f>
        <v>Merchant_024</v>
      </c>
      <c r="J117" t="str">
        <f>IFERROR(VLOOKUP(C117,Merchants!$A$2:$D$41,3,FALSE),"Merchant not found")</f>
        <v>grocery</v>
      </c>
      <c r="K117" t="str">
        <f>IFERROR(VLOOKUP(C117,Merchants!$A$2:$D$41,4,FALSE), "Merchant Not Fount")</f>
        <v>North</v>
      </c>
      <c r="L117" s="2">
        <f>HLOOKUP(F117,HLOOKUP_Reference!$A$1:$E$2,2,FALSE)</f>
        <v>2E-3</v>
      </c>
      <c r="M117">
        <f>SUMIFS(Daily_Merchant_Pivot!$E:$E,Daily_Merchant_Pivot!$A:$A,C117,Daily_Merchant_Pivot!$D:$D,INT(D117))</f>
        <v>499</v>
      </c>
      <c r="N117" t="str">
        <f t="shared" si="2"/>
        <v>Normal Merchant Day</v>
      </c>
      <c r="O117" s="7">
        <f t="shared" si="3"/>
        <v>46036</v>
      </c>
    </row>
    <row r="118" spans="1:15" x14ac:dyDescent="0.3">
      <c r="A118" t="s">
        <v>131</v>
      </c>
      <c r="B118">
        <v>227</v>
      </c>
      <c r="C118">
        <v>4</v>
      </c>
      <c r="D118" s="1">
        <v>46047.652777777781</v>
      </c>
      <c r="E118">
        <v>499</v>
      </c>
      <c r="F118" t="s">
        <v>12</v>
      </c>
      <c r="G118" t="s">
        <v>10</v>
      </c>
      <c r="H118">
        <v>26</v>
      </c>
      <c r="I118" t="str">
        <f>IFERROR(VLOOKUP(C118,Merchants!$A$2:$D$41,2,FALSE),"Merchant not found")</f>
        <v>Merchant_004</v>
      </c>
      <c r="J118" t="str">
        <f>IFERROR(VLOOKUP(C118,Merchants!$A$2:$D$41,3,FALSE),"Merchant not found")</f>
        <v>ecommerce</v>
      </c>
      <c r="K118" t="str">
        <f>IFERROR(VLOOKUP(C118,Merchants!$A$2:$D$41,4,FALSE), "Merchant Not Fount")</f>
        <v>East</v>
      </c>
      <c r="L118" s="2">
        <f>HLOOKUP(F118,HLOOKUP_Reference!$A$1:$E$2,2,FALSE)</f>
        <v>2E-3</v>
      </c>
      <c r="M118">
        <f>SUMIFS(Daily_Merchant_Pivot!$E:$E,Daily_Merchant_Pivot!$A:$A,C118,Daily_Merchant_Pivot!$D:$D,INT(D118))</f>
        <v>1998</v>
      </c>
      <c r="N118" t="str">
        <f t="shared" si="2"/>
        <v>Normal Merchant Day</v>
      </c>
      <c r="O118" s="7">
        <f t="shared" si="3"/>
        <v>46047</v>
      </c>
    </row>
    <row r="119" spans="1:15" x14ac:dyDescent="0.3">
      <c r="A119" t="s">
        <v>132</v>
      </c>
      <c r="B119">
        <v>148</v>
      </c>
      <c r="C119">
        <v>29</v>
      </c>
      <c r="D119" s="1">
        <v>46031.713888888888</v>
      </c>
      <c r="E119">
        <v>499</v>
      </c>
      <c r="F119" t="s">
        <v>12</v>
      </c>
      <c r="G119" t="s">
        <v>10</v>
      </c>
      <c r="H119">
        <v>89</v>
      </c>
      <c r="I119" t="str">
        <f>IFERROR(VLOOKUP(C119,Merchants!$A$2:$D$41,2,FALSE),"Merchant not found")</f>
        <v>Merchant_029</v>
      </c>
      <c r="J119" t="str">
        <f>IFERROR(VLOOKUP(C119,Merchants!$A$2:$D$41,3,FALSE),"Merchant not found")</f>
        <v>ecommerce</v>
      </c>
      <c r="K119" t="str">
        <f>IFERROR(VLOOKUP(C119,Merchants!$A$2:$D$41,4,FALSE), "Merchant Not Fount")</f>
        <v>North</v>
      </c>
      <c r="L119" s="2">
        <f>HLOOKUP(F119,HLOOKUP_Reference!$A$1:$E$2,2,FALSE)</f>
        <v>2E-3</v>
      </c>
      <c r="M119">
        <f>SUMIFS(Daily_Merchant_Pivot!$E:$E,Daily_Merchant_Pivot!$A:$A,C119,Daily_Merchant_Pivot!$D:$D,INT(D119))</f>
        <v>499</v>
      </c>
      <c r="N119" t="str">
        <f t="shared" si="2"/>
        <v>Normal Merchant Day</v>
      </c>
      <c r="O119" s="7">
        <f t="shared" si="3"/>
        <v>46031</v>
      </c>
    </row>
    <row r="120" spans="1:15" x14ac:dyDescent="0.3">
      <c r="A120" t="s">
        <v>133</v>
      </c>
      <c r="B120">
        <v>323</v>
      </c>
      <c r="C120">
        <v>39</v>
      </c>
      <c r="D120" s="1">
        <v>46038.125694444447</v>
      </c>
      <c r="E120">
        <v>499</v>
      </c>
      <c r="F120" t="s">
        <v>12</v>
      </c>
      <c r="G120" t="s">
        <v>10</v>
      </c>
      <c r="H120">
        <v>30</v>
      </c>
      <c r="I120" t="str">
        <f>IFERROR(VLOOKUP(C120,Merchants!$A$2:$D$41,2,FALSE),"Merchant not found")</f>
        <v>Merchant_039</v>
      </c>
      <c r="J120" t="str">
        <f>IFERROR(VLOOKUP(C120,Merchants!$A$2:$D$41,3,FALSE),"Merchant not found")</f>
        <v>entertainment</v>
      </c>
      <c r="K120" t="str">
        <f>IFERROR(VLOOKUP(C120,Merchants!$A$2:$D$41,4,FALSE), "Merchant Not Fount")</f>
        <v>North</v>
      </c>
      <c r="L120" s="2">
        <f>HLOOKUP(F120,HLOOKUP_Reference!$A$1:$E$2,2,FALSE)</f>
        <v>2E-3</v>
      </c>
      <c r="M120">
        <f>SUMIFS(Daily_Merchant_Pivot!$E:$E,Daily_Merchant_Pivot!$A:$A,C120,Daily_Merchant_Pivot!$D:$D,INT(D120))</f>
        <v>499</v>
      </c>
      <c r="N120" t="str">
        <f t="shared" si="2"/>
        <v>Normal Merchant Day</v>
      </c>
      <c r="O120" s="7">
        <f t="shared" si="3"/>
        <v>46038</v>
      </c>
    </row>
    <row r="121" spans="1:15" x14ac:dyDescent="0.3">
      <c r="A121" t="s">
        <v>134</v>
      </c>
      <c r="B121">
        <v>283</v>
      </c>
      <c r="C121">
        <v>1</v>
      </c>
      <c r="D121" s="1">
        <v>46045.22152777778</v>
      </c>
      <c r="E121">
        <v>2999</v>
      </c>
      <c r="F121" t="s">
        <v>9</v>
      </c>
      <c r="G121" t="s">
        <v>10</v>
      </c>
      <c r="H121">
        <v>70</v>
      </c>
      <c r="I121" t="str">
        <f>IFERROR(VLOOKUP(C121,Merchants!$A$2:$D$41,2,FALSE),"Merchant not found")</f>
        <v>Merchant_001</v>
      </c>
      <c r="J121" t="str">
        <f>IFERROR(VLOOKUP(C121,Merchants!$A$2:$D$41,3,FALSE),"Merchant not found")</f>
        <v>ecommerce</v>
      </c>
      <c r="K121" t="str">
        <f>IFERROR(VLOOKUP(C121,Merchants!$A$2:$D$41,4,FALSE), "Merchant Not Fount")</f>
        <v>South</v>
      </c>
      <c r="L121" s="2">
        <f>HLOOKUP(F121,HLOOKUP_Reference!$A$1:$E$2,2,FALSE)</f>
        <v>6.4999999999999997E-3</v>
      </c>
      <c r="M121">
        <f>SUMIFS(Daily_Merchant_Pivot!$E:$E,Daily_Merchant_Pivot!$A:$A,C121,Daily_Merchant_Pivot!$D:$D,INT(D121))</f>
        <v>3148</v>
      </c>
      <c r="N121" t="str">
        <f t="shared" si="2"/>
        <v>Normal Merchant Day</v>
      </c>
      <c r="O121" s="7">
        <f t="shared" si="3"/>
        <v>46045</v>
      </c>
    </row>
    <row r="122" spans="1:15" x14ac:dyDescent="0.3">
      <c r="A122" t="s">
        <v>135</v>
      </c>
      <c r="B122">
        <v>59</v>
      </c>
      <c r="C122">
        <v>30</v>
      </c>
      <c r="D122" s="1">
        <v>46036.093055555553</v>
      </c>
      <c r="E122">
        <v>499</v>
      </c>
      <c r="F122" t="s">
        <v>12</v>
      </c>
      <c r="G122" t="s">
        <v>10</v>
      </c>
      <c r="H122">
        <v>15</v>
      </c>
      <c r="I122" t="str">
        <f>IFERROR(VLOOKUP(C122,Merchants!$A$2:$D$41,2,FALSE),"Merchant not found")</f>
        <v>Merchant_030</v>
      </c>
      <c r="J122" t="str">
        <f>IFERROR(VLOOKUP(C122,Merchants!$A$2:$D$41,3,FALSE),"Merchant not found")</f>
        <v>travel</v>
      </c>
      <c r="K122" t="str">
        <f>IFERROR(VLOOKUP(C122,Merchants!$A$2:$D$41,4,FALSE), "Merchant Not Fount")</f>
        <v>West</v>
      </c>
      <c r="L122" s="2">
        <f>HLOOKUP(F122,HLOOKUP_Reference!$A$1:$E$2,2,FALSE)</f>
        <v>2E-3</v>
      </c>
      <c r="M122">
        <f>SUMIFS(Daily_Merchant_Pivot!$E:$E,Daily_Merchant_Pivot!$A:$A,C122,Daily_Merchant_Pivot!$D:$D,INT(D122))</f>
        <v>2497</v>
      </c>
      <c r="N122" t="str">
        <f t="shared" si="2"/>
        <v>Normal Merchant Day</v>
      </c>
      <c r="O122" s="7">
        <f t="shared" si="3"/>
        <v>46036</v>
      </c>
    </row>
    <row r="123" spans="1:15" x14ac:dyDescent="0.3">
      <c r="A123" t="s">
        <v>136</v>
      </c>
      <c r="B123">
        <v>150</v>
      </c>
      <c r="C123">
        <v>33</v>
      </c>
      <c r="D123" s="1">
        <v>46043.188194444447</v>
      </c>
      <c r="E123">
        <v>2999</v>
      </c>
      <c r="F123" t="s">
        <v>12</v>
      </c>
      <c r="G123" t="s">
        <v>10</v>
      </c>
      <c r="H123">
        <v>90</v>
      </c>
      <c r="I123" t="str">
        <f>IFERROR(VLOOKUP(C123,Merchants!$A$2:$D$41,2,FALSE),"Merchant not found")</f>
        <v>Merchant_033</v>
      </c>
      <c r="J123" t="str">
        <f>IFERROR(VLOOKUP(C123,Merchants!$A$2:$D$41,3,FALSE),"Merchant not found")</f>
        <v>bill_payment</v>
      </c>
      <c r="K123" t="str">
        <f>IFERROR(VLOOKUP(C123,Merchants!$A$2:$D$41,4,FALSE), "Merchant Not Fount")</f>
        <v>East</v>
      </c>
      <c r="L123" s="2">
        <f>HLOOKUP(F123,HLOOKUP_Reference!$A$1:$E$2,2,FALSE)</f>
        <v>2E-3</v>
      </c>
      <c r="M123">
        <f>SUMIFS(Daily_Merchant_Pivot!$E:$E,Daily_Merchant_Pivot!$A:$A,C123,Daily_Merchant_Pivot!$D:$D,INT(D123))</f>
        <v>3298</v>
      </c>
      <c r="N123" t="str">
        <f t="shared" si="2"/>
        <v>Normal Merchant Day</v>
      </c>
      <c r="O123" s="7">
        <f t="shared" si="3"/>
        <v>46043</v>
      </c>
    </row>
    <row r="124" spans="1:15" x14ac:dyDescent="0.3">
      <c r="A124" t="s">
        <v>137</v>
      </c>
      <c r="B124">
        <v>248</v>
      </c>
      <c r="C124">
        <v>31</v>
      </c>
      <c r="D124" s="1">
        <v>46031.578472222223</v>
      </c>
      <c r="E124">
        <v>1499</v>
      </c>
      <c r="F124" t="s">
        <v>12</v>
      </c>
      <c r="G124" t="s">
        <v>25</v>
      </c>
      <c r="H124">
        <v>31</v>
      </c>
      <c r="I124" t="str">
        <f>IFERROR(VLOOKUP(C124,Merchants!$A$2:$D$41,2,FALSE),"Merchant not found")</f>
        <v>Merchant_031</v>
      </c>
      <c r="J124" t="str">
        <f>IFERROR(VLOOKUP(C124,Merchants!$A$2:$D$41,3,FALSE),"Merchant not found")</f>
        <v>bill_payment</v>
      </c>
      <c r="K124" t="str">
        <f>IFERROR(VLOOKUP(C124,Merchants!$A$2:$D$41,4,FALSE), "Merchant Not Fount")</f>
        <v>East</v>
      </c>
      <c r="L124" s="2">
        <f>HLOOKUP(F124,HLOOKUP_Reference!$A$1:$E$2,2,FALSE)</f>
        <v>2E-3</v>
      </c>
      <c r="M124">
        <f>SUMIFS(Daily_Merchant_Pivot!$E:$E,Daily_Merchant_Pivot!$A:$A,C124,Daily_Merchant_Pivot!$D:$D,INT(D124))</f>
        <v>1499</v>
      </c>
      <c r="N124" t="str">
        <f t="shared" si="2"/>
        <v>Normal Merchant Day</v>
      </c>
      <c r="O124" s="7">
        <f t="shared" si="3"/>
        <v>46031</v>
      </c>
    </row>
    <row r="125" spans="1:15" x14ac:dyDescent="0.3">
      <c r="A125" t="s">
        <v>138</v>
      </c>
      <c r="B125">
        <v>197</v>
      </c>
      <c r="C125">
        <v>13</v>
      </c>
      <c r="D125" s="1">
        <v>46037.714583333334</v>
      </c>
      <c r="E125">
        <v>49</v>
      </c>
      <c r="F125" t="s">
        <v>12</v>
      </c>
      <c r="G125" t="s">
        <v>10</v>
      </c>
      <c r="H125">
        <v>76</v>
      </c>
      <c r="I125" t="str">
        <f>IFERROR(VLOOKUP(C125,Merchants!$A$2:$D$41,2,FALSE),"Merchant not found")</f>
        <v>Merchant_013</v>
      </c>
      <c r="J125" t="str">
        <f>IFERROR(VLOOKUP(C125,Merchants!$A$2:$D$41,3,FALSE),"Merchant not found")</f>
        <v>travel</v>
      </c>
      <c r="K125" t="str">
        <f>IFERROR(VLOOKUP(C125,Merchants!$A$2:$D$41,4,FALSE), "Merchant Not Fount")</f>
        <v>East</v>
      </c>
      <c r="L125" s="2">
        <f>HLOOKUP(F125,HLOOKUP_Reference!$A$1:$E$2,2,FALSE)</f>
        <v>2E-3</v>
      </c>
      <c r="M125">
        <f>SUMIFS(Daily_Merchant_Pivot!$E:$E,Daily_Merchant_Pivot!$A:$A,C125,Daily_Merchant_Pivot!$D:$D,INT(D125))</f>
        <v>49</v>
      </c>
      <c r="N125" t="str">
        <f t="shared" si="2"/>
        <v>Normal Merchant Day</v>
      </c>
      <c r="O125" s="7">
        <f t="shared" si="3"/>
        <v>46037</v>
      </c>
    </row>
    <row r="126" spans="1:15" x14ac:dyDescent="0.3">
      <c r="A126" t="s">
        <v>139</v>
      </c>
      <c r="B126">
        <v>70</v>
      </c>
      <c r="C126">
        <v>5</v>
      </c>
      <c r="D126" s="1">
        <v>46039.99722222222</v>
      </c>
      <c r="E126">
        <v>499</v>
      </c>
      <c r="F126" t="s">
        <v>12</v>
      </c>
      <c r="G126" t="s">
        <v>10</v>
      </c>
      <c r="H126">
        <v>35</v>
      </c>
      <c r="I126" t="str">
        <f>IFERROR(VLOOKUP(C126,Merchants!$A$2:$D$41,2,FALSE),"Merchant not found")</f>
        <v>Merchant_005</v>
      </c>
      <c r="J126" t="str">
        <f>IFERROR(VLOOKUP(C126,Merchants!$A$2:$D$41,3,FALSE),"Merchant not found")</f>
        <v>recharge</v>
      </c>
      <c r="K126" t="str">
        <f>IFERROR(VLOOKUP(C126,Merchants!$A$2:$D$41,4,FALSE), "Merchant Not Fount")</f>
        <v>South</v>
      </c>
      <c r="L126" s="2">
        <f>HLOOKUP(F126,HLOOKUP_Reference!$A$1:$E$2,2,FALSE)</f>
        <v>2E-3</v>
      </c>
      <c r="M126">
        <f>SUMIFS(Daily_Merchant_Pivot!$E:$E,Daily_Merchant_Pivot!$A:$A,C126,Daily_Merchant_Pivot!$D:$D,INT(D126))</f>
        <v>499</v>
      </c>
      <c r="N126" t="str">
        <f t="shared" si="2"/>
        <v>Normal Merchant Day</v>
      </c>
      <c r="O126" s="7">
        <f t="shared" si="3"/>
        <v>46039</v>
      </c>
    </row>
    <row r="127" spans="1:15" x14ac:dyDescent="0.3">
      <c r="A127" t="s">
        <v>140</v>
      </c>
      <c r="B127">
        <v>260</v>
      </c>
      <c r="C127">
        <v>18</v>
      </c>
      <c r="D127" s="1">
        <v>46047.556250000001</v>
      </c>
      <c r="E127">
        <v>1499</v>
      </c>
      <c r="F127" t="s">
        <v>12</v>
      </c>
      <c r="G127" t="s">
        <v>10</v>
      </c>
      <c r="H127">
        <v>0</v>
      </c>
      <c r="I127" t="str">
        <f>IFERROR(VLOOKUP(C127,Merchants!$A$2:$D$41,2,FALSE),"Merchant not found")</f>
        <v>Merchant_018</v>
      </c>
      <c r="J127" t="str">
        <f>IFERROR(VLOOKUP(C127,Merchants!$A$2:$D$41,3,FALSE),"Merchant not found")</f>
        <v>grocery</v>
      </c>
      <c r="K127" t="str">
        <f>IFERROR(VLOOKUP(C127,Merchants!$A$2:$D$41,4,FALSE), "Merchant Not Fount")</f>
        <v>West</v>
      </c>
      <c r="L127" s="2">
        <f>HLOOKUP(F127,HLOOKUP_Reference!$A$1:$E$2,2,FALSE)</f>
        <v>2E-3</v>
      </c>
      <c r="M127">
        <f>SUMIFS(Daily_Merchant_Pivot!$E:$E,Daily_Merchant_Pivot!$A:$A,C127,Daily_Merchant_Pivot!$D:$D,INT(D127))</f>
        <v>1648</v>
      </c>
      <c r="N127" t="str">
        <f t="shared" si="2"/>
        <v>Normal Merchant Day</v>
      </c>
      <c r="O127" s="7">
        <f t="shared" si="3"/>
        <v>46047</v>
      </c>
    </row>
    <row r="128" spans="1:15" x14ac:dyDescent="0.3">
      <c r="A128" t="s">
        <v>141</v>
      </c>
      <c r="B128">
        <v>301</v>
      </c>
      <c r="C128">
        <v>38</v>
      </c>
      <c r="D128" s="1">
        <v>46032.97152777778</v>
      </c>
      <c r="E128">
        <v>99</v>
      </c>
      <c r="F128" t="s">
        <v>12</v>
      </c>
      <c r="G128" t="s">
        <v>10</v>
      </c>
      <c r="H128">
        <v>84</v>
      </c>
      <c r="I128" t="str">
        <f>IFERROR(VLOOKUP(C128,Merchants!$A$2:$D$41,2,FALSE),"Merchant not found")</f>
        <v>Merchant_038</v>
      </c>
      <c r="J128" t="str">
        <f>IFERROR(VLOOKUP(C128,Merchants!$A$2:$D$41,3,FALSE),"Merchant not found")</f>
        <v>grocery</v>
      </c>
      <c r="K128" t="str">
        <f>IFERROR(VLOOKUP(C128,Merchants!$A$2:$D$41,4,FALSE), "Merchant Not Fount")</f>
        <v>East</v>
      </c>
      <c r="L128" s="2">
        <f>HLOOKUP(F128,HLOOKUP_Reference!$A$1:$E$2,2,FALSE)</f>
        <v>2E-3</v>
      </c>
      <c r="M128">
        <f>SUMIFS(Daily_Merchant_Pivot!$E:$E,Daily_Merchant_Pivot!$A:$A,C128,Daily_Merchant_Pivot!$D:$D,INT(D128))</f>
        <v>398</v>
      </c>
      <c r="N128" t="str">
        <f t="shared" si="2"/>
        <v>Normal Merchant Day</v>
      </c>
      <c r="O128" s="7">
        <f t="shared" si="3"/>
        <v>46032</v>
      </c>
    </row>
    <row r="129" spans="1:15" x14ac:dyDescent="0.3">
      <c r="A129" t="s">
        <v>142</v>
      </c>
      <c r="B129">
        <v>276</v>
      </c>
      <c r="C129">
        <v>31</v>
      </c>
      <c r="D129" s="1">
        <v>46038.186111111114</v>
      </c>
      <c r="E129">
        <v>499</v>
      </c>
      <c r="F129" t="s">
        <v>24</v>
      </c>
      <c r="G129" t="s">
        <v>10</v>
      </c>
      <c r="H129">
        <v>44</v>
      </c>
      <c r="I129" t="str">
        <f>IFERROR(VLOOKUP(C129,Merchants!$A$2:$D$41,2,FALSE),"Merchant not found")</f>
        <v>Merchant_031</v>
      </c>
      <c r="J129" t="str">
        <f>IFERROR(VLOOKUP(C129,Merchants!$A$2:$D$41,3,FALSE),"Merchant not found")</f>
        <v>bill_payment</v>
      </c>
      <c r="K129" t="str">
        <f>IFERROR(VLOOKUP(C129,Merchants!$A$2:$D$41,4,FALSE), "Merchant Not Fount")</f>
        <v>East</v>
      </c>
      <c r="L129" s="2">
        <f>HLOOKUP(F129,HLOOKUP_Reference!$A$1:$E$2,2,FALSE)</f>
        <v>1.4999999999999999E-2</v>
      </c>
      <c r="M129">
        <f>SUMIFS(Daily_Merchant_Pivot!$E:$E,Daily_Merchant_Pivot!$A:$A,C129,Daily_Merchant_Pivot!$D:$D,INT(D129))</f>
        <v>499</v>
      </c>
      <c r="N129" t="str">
        <f t="shared" si="2"/>
        <v>Normal Merchant Day</v>
      </c>
      <c r="O129" s="7">
        <f t="shared" si="3"/>
        <v>46038</v>
      </c>
    </row>
    <row r="130" spans="1:15" x14ac:dyDescent="0.3">
      <c r="A130" t="s">
        <v>143</v>
      </c>
      <c r="B130">
        <v>279</v>
      </c>
      <c r="C130">
        <v>25</v>
      </c>
      <c r="D130" s="1">
        <v>46033.741666666669</v>
      </c>
      <c r="E130">
        <v>799</v>
      </c>
      <c r="F130" t="s">
        <v>12</v>
      </c>
      <c r="G130" t="s">
        <v>10</v>
      </c>
      <c r="H130">
        <v>58</v>
      </c>
      <c r="I130" t="str">
        <f>IFERROR(VLOOKUP(C130,Merchants!$A$2:$D$41,2,FALSE),"Merchant not found")</f>
        <v>Merchant_025</v>
      </c>
      <c r="J130" t="str">
        <f>IFERROR(VLOOKUP(C130,Merchants!$A$2:$D$41,3,FALSE),"Merchant not found")</f>
        <v>travel</v>
      </c>
      <c r="K130" t="str">
        <f>IFERROR(VLOOKUP(C130,Merchants!$A$2:$D$41,4,FALSE), "Merchant Not Fount")</f>
        <v>South</v>
      </c>
      <c r="L130" s="2">
        <f>HLOOKUP(F130,HLOOKUP_Reference!$A$1:$E$2,2,FALSE)</f>
        <v>2E-3</v>
      </c>
      <c r="M130">
        <f>SUMIFS(Daily_Merchant_Pivot!$E:$E,Daily_Merchant_Pivot!$A:$A,C130,Daily_Merchant_Pivot!$D:$D,INT(D130))</f>
        <v>799</v>
      </c>
      <c r="N130" t="str">
        <f t="shared" si="2"/>
        <v>Normal Merchant Day</v>
      </c>
      <c r="O130" s="7">
        <f t="shared" si="3"/>
        <v>46033</v>
      </c>
    </row>
    <row r="131" spans="1:15" x14ac:dyDescent="0.3">
      <c r="A131" t="s">
        <v>144</v>
      </c>
      <c r="B131">
        <v>97</v>
      </c>
      <c r="C131">
        <v>16</v>
      </c>
      <c r="D131" s="1">
        <v>46052.454861111109</v>
      </c>
      <c r="E131">
        <v>799</v>
      </c>
      <c r="F131" t="s">
        <v>24</v>
      </c>
      <c r="G131" t="s">
        <v>10</v>
      </c>
      <c r="H131">
        <v>73</v>
      </c>
      <c r="I131" t="str">
        <f>IFERROR(VLOOKUP(C131,Merchants!$A$2:$D$41,2,FALSE),"Merchant not found")</f>
        <v>Merchant_016</v>
      </c>
      <c r="J131" t="str">
        <f>IFERROR(VLOOKUP(C131,Merchants!$A$2:$D$41,3,FALSE),"Merchant not found")</f>
        <v>bill_payment</v>
      </c>
      <c r="K131" t="str">
        <f>IFERROR(VLOOKUP(C131,Merchants!$A$2:$D$41,4,FALSE), "Merchant Not Fount")</f>
        <v>West</v>
      </c>
      <c r="L131" s="2">
        <f>HLOOKUP(F131,HLOOKUP_Reference!$A$1:$E$2,2,FALSE)</f>
        <v>1.4999999999999999E-2</v>
      </c>
      <c r="M131">
        <f>SUMIFS(Daily_Merchant_Pivot!$E:$E,Daily_Merchant_Pivot!$A:$A,C131,Daily_Merchant_Pivot!$D:$D,INT(D131))</f>
        <v>898</v>
      </c>
      <c r="N131" t="str">
        <f t="shared" ref="N131:N194" si="4">IF(AND(M131&gt;5000,K131&lt;&gt;"East"),"High-Value Merchant Day","Normal Merchant Day")</f>
        <v>Normal Merchant Day</v>
      </c>
      <c r="O131" s="7">
        <f t="shared" ref="O131:O194" si="5">INT(D131)</f>
        <v>46052</v>
      </c>
    </row>
    <row r="132" spans="1:15" x14ac:dyDescent="0.3">
      <c r="A132" t="s">
        <v>145</v>
      </c>
      <c r="B132">
        <v>211</v>
      </c>
      <c r="C132">
        <v>3</v>
      </c>
      <c r="D132" s="1">
        <v>46035.32916666667</v>
      </c>
      <c r="E132">
        <v>149</v>
      </c>
      <c r="F132" t="s">
        <v>12</v>
      </c>
      <c r="G132" t="s">
        <v>38</v>
      </c>
      <c r="H132">
        <v>40</v>
      </c>
      <c r="I132" t="str">
        <f>IFERROR(VLOOKUP(C132,Merchants!$A$2:$D$41,2,FALSE),"Merchant not found")</f>
        <v>Merchant_003</v>
      </c>
      <c r="J132" t="str">
        <f>IFERROR(VLOOKUP(C132,Merchants!$A$2:$D$41,3,FALSE),"Merchant not found")</f>
        <v>grocery</v>
      </c>
      <c r="K132" t="str">
        <f>IFERROR(VLOOKUP(C132,Merchants!$A$2:$D$41,4,FALSE), "Merchant Not Fount")</f>
        <v>East</v>
      </c>
      <c r="L132" s="2">
        <f>HLOOKUP(F132,HLOOKUP_Reference!$A$1:$E$2,2,FALSE)</f>
        <v>2E-3</v>
      </c>
      <c r="M132">
        <f>SUMIFS(Daily_Merchant_Pivot!$E:$E,Daily_Merchant_Pivot!$A:$A,C132,Daily_Merchant_Pivot!$D:$D,INT(D132))</f>
        <v>198</v>
      </c>
      <c r="N132" t="str">
        <f t="shared" si="4"/>
        <v>Normal Merchant Day</v>
      </c>
      <c r="O132" s="7">
        <f t="shared" si="5"/>
        <v>46035</v>
      </c>
    </row>
    <row r="133" spans="1:15" x14ac:dyDescent="0.3">
      <c r="A133" t="s">
        <v>146</v>
      </c>
      <c r="B133">
        <v>196</v>
      </c>
      <c r="C133">
        <v>25</v>
      </c>
      <c r="D133" s="1">
        <v>46046.65625</v>
      </c>
      <c r="E133">
        <v>149</v>
      </c>
      <c r="F133" t="s">
        <v>15</v>
      </c>
      <c r="G133" t="s">
        <v>10</v>
      </c>
      <c r="H133">
        <v>84</v>
      </c>
      <c r="I133" t="str">
        <f>IFERROR(VLOOKUP(C133,Merchants!$A$2:$D$41,2,FALSE),"Merchant not found")</f>
        <v>Merchant_025</v>
      </c>
      <c r="J133" t="str">
        <f>IFERROR(VLOOKUP(C133,Merchants!$A$2:$D$41,3,FALSE),"Merchant not found")</f>
        <v>travel</v>
      </c>
      <c r="K133" t="str">
        <f>IFERROR(VLOOKUP(C133,Merchants!$A$2:$D$41,4,FALSE), "Merchant Not Fount")</f>
        <v>South</v>
      </c>
      <c r="L133" s="2">
        <f>HLOOKUP(F133,HLOOKUP_Reference!$A$1:$E$2,2,FALSE)</f>
        <v>0.01</v>
      </c>
      <c r="M133">
        <f>SUMIFS(Daily_Merchant_Pivot!$E:$E,Daily_Merchant_Pivot!$A:$A,C133,Daily_Merchant_Pivot!$D:$D,INT(D133))</f>
        <v>497</v>
      </c>
      <c r="N133" t="str">
        <f t="shared" si="4"/>
        <v>Normal Merchant Day</v>
      </c>
      <c r="O133" s="7">
        <f t="shared" si="5"/>
        <v>46046</v>
      </c>
    </row>
    <row r="134" spans="1:15" x14ac:dyDescent="0.3">
      <c r="A134" t="s">
        <v>147</v>
      </c>
      <c r="B134">
        <v>254</v>
      </c>
      <c r="C134">
        <v>3</v>
      </c>
      <c r="D134" s="1">
        <v>46048.839583333334</v>
      </c>
      <c r="E134">
        <v>149</v>
      </c>
      <c r="F134" t="s">
        <v>24</v>
      </c>
      <c r="G134" t="s">
        <v>10</v>
      </c>
      <c r="H134">
        <v>16</v>
      </c>
      <c r="I134" t="str">
        <f>IFERROR(VLOOKUP(C134,Merchants!$A$2:$D$41,2,FALSE),"Merchant not found")</f>
        <v>Merchant_003</v>
      </c>
      <c r="J134" t="str">
        <f>IFERROR(VLOOKUP(C134,Merchants!$A$2:$D$41,3,FALSE),"Merchant not found")</f>
        <v>grocery</v>
      </c>
      <c r="K134" t="str">
        <f>IFERROR(VLOOKUP(C134,Merchants!$A$2:$D$41,4,FALSE), "Merchant Not Fount")</f>
        <v>East</v>
      </c>
      <c r="L134" s="2">
        <f>HLOOKUP(F134,HLOOKUP_Reference!$A$1:$E$2,2,FALSE)</f>
        <v>1.4999999999999999E-2</v>
      </c>
      <c r="M134">
        <f>SUMIFS(Daily_Merchant_Pivot!$E:$E,Daily_Merchant_Pivot!$A:$A,C134,Daily_Merchant_Pivot!$D:$D,INT(D134))</f>
        <v>149</v>
      </c>
      <c r="N134" t="str">
        <f t="shared" si="4"/>
        <v>Normal Merchant Day</v>
      </c>
      <c r="O134" s="7">
        <f t="shared" si="5"/>
        <v>46048</v>
      </c>
    </row>
    <row r="135" spans="1:15" x14ac:dyDescent="0.3">
      <c r="A135" t="s">
        <v>148</v>
      </c>
      <c r="B135">
        <v>52</v>
      </c>
      <c r="C135">
        <v>29</v>
      </c>
      <c r="D135" s="1">
        <v>46039.76458333333</v>
      </c>
      <c r="E135">
        <v>49</v>
      </c>
      <c r="F135" t="s">
        <v>15</v>
      </c>
      <c r="G135" t="s">
        <v>10</v>
      </c>
      <c r="H135">
        <v>12</v>
      </c>
      <c r="I135" t="str">
        <f>IFERROR(VLOOKUP(C135,Merchants!$A$2:$D$41,2,FALSE),"Merchant not found")</f>
        <v>Merchant_029</v>
      </c>
      <c r="J135" t="str">
        <f>IFERROR(VLOOKUP(C135,Merchants!$A$2:$D$41,3,FALSE),"Merchant not found")</f>
        <v>ecommerce</v>
      </c>
      <c r="K135" t="str">
        <f>IFERROR(VLOOKUP(C135,Merchants!$A$2:$D$41,4,FALSE), "Merchant Not Fount")</f>
        <v>North</v>
      </c>
      <c r="L135" s="2">
        <f>HLOOKUP(F135,HLOOKUP_Reference!$A$1:$E$2,2,FALSE)</f>
        <v>0.01</v>
      </c>
      <c r="M135">
        <f>SUMIFS(Daily_Merchant_Pivot!$E:$E,Daily_Merchant_Pivot!$A:$A,C135,Daily_Merchant_Pivot!$D:$D,INT(D135))</f>
        <v>49</v>
      </c>
      <c r="N135" t="str">
        <f t="shared" si="4"/>
        <v>Normal Merchant Day</v>
      </c>
      <c r="O135" s="7">
        <f t="shared" si="5"/>
        <v>46039</v>
      </c>
    </row>
    <row r="136" spans="1:15" x14ac:dyDescent="0.3">
      <c r="A136" t="s">
        <v>149</v>
      </c>
      <c r="B136">
        <v>74</v>
      </c>
      <c r="C136">
        <v>27</v>
      </c>
      <c r="D136" s="1">
        <v>46039.583333333336</v>
      </c>
      <c r="E136">
        <v>799</v>
      </c>
      <c r="F136" t="s">
        <v>12</v>
      </c>
      <c r="G136" t="s">
        <v>10</v>
      </c>
      <c r="H136">
        <v>83</v>
      </c>
      <c r="I136" t="str">
        <f>IFERROR(VLOOKUP(C136,Merchants!$A$2:$D$41,2,FALSE),"Merchant not found")</f>
        <v>Merchant_027</v>
      </c>
      <c r="J136" t="str">
        <f>IFERROR(VLOOKUP(C136,Merchants!$A$2:$D$41,3,FALSE),"Merchant not found")</f>
        <v>ecommerce</v>
      </c>
      <c r="K136" t="str">
        <f>IFERROR(VLOOKUP(C136,Merchants!$A$2:$D$41,4,FALSE), "Merchant Not Fount")</f>
        <v>North</v>
      </c>
      <c r="L136" s="2">
        <f>HLOOKUP(F136,HLOOKUP_Reference!$A$1:$E$2,2,FALSE)</f>
        <v>2E-3</v>
      </c>
      <c r="M136">
        <f>SUMIFS(Daily_Merchant_Pivot!$E:$E,Daily_Merchant_Pivot!$A:$A,C136,Daily_Merchant_Pivot!$D:$D,INT(D136))</f>
        <v>1597</v>
      </c>
      <c r="N136" t="str">
        <f t="shared" si="4"/>
        <v>Normal Merchant Day</v>
      </c>
      <c r="O136" s="7">
        <f t="shared" si="5"/>
        <v>46039</v>
      </c>
    </row>
    <row r="137" spans="1:15" x14ac:dyDescent="0.3">
      <c r="A137" t="s">
        <v>150</v>
      </c>
      <c r="B137">
        <v>136</v>
      </c>
      <c r="C137">
        <v>22</v>
      </c>
      <c r="D137" s="1">
        <v>46027.104166666664</v>
      </c>
      <c r="E137">
        <v>149</v>
      </c>
      <c r="F137" t="s">
        <v>12</v>
      </c>
      <c r="G137" t="s">
        <v>10</v>
      </c>
      <c r="H137">
        <v>79</v>
      </c>
      <c r="I137" t="str">
        <f>IFERROR(VLOOKUP(C137,Merchants!$A$2:$D$41,2,FALSE),"Merchant not found")</f>
        <v>Merchant_022</v>
      </c>
      <c r="J137" t="str">
        <f>IFERROR(VLOOKUP(C137,Merchants!$A$2:$D$41,3,FALSE),"Merchant not found")</f>
        <v>travel</v>
      </c>
      <c r="K137" t="str">
        <f>IFERROR(VLOOKUP(C137,Merchants!$A$2:$D$41,4,FALSE), "Merchant Not Fount")</f>
        <v>South</v>
      </c>
      <c r="L137" s="2">
        <f>HLOOKUP(F137,HLOOKUP_Reference!$A$1:$E$2,2,FALSE)</f>
        <v>2E-3</v>
      </c>
      <c r="M137">
        <f>SUMIFS(Daily_Merchant_Pivot!$E:$E,Daily_Merchant_Pivot!$A:$A,C137,Daily_Merchant_Pivot!$D:$D,INT(D137))</f>
        <v>448</v>
      </c>
      <c r="N137" t="str">
        <f t="shared" si="4"/>
        <v>Normal Merchant Day</v>
      </c>
      <c r="O137" s="7">
        <f t="shared" si="5"/>
        <v>46027</v>
      </c>
    </row>
    <row r="138" spans="1:15" x14ac:dyDescent="0.3">
      <c r="A138" t="s">
        <v>151</v>
      </c>
      <c r="B138">
        <v>42</v>
      </c>
      <c r="C138">
        <v>22</v>
      </c>
      <c r="D138" s="1">
        <v>46045.52847222222</v>
      </c>
      <c r="E138">
        <v>49</v>
      </c>
      <c r="F138" t="s">
        <v>12</v>
      </c>
      <c r="G138" t="s">
        <v>10</v>
      </c>
      <c r="H138">
        <v>86</v>
      </c>
      <c r="I138" t="str">
        <f>IFERROR(VLOOKUP(C138,Merchants!$A$2:$D$41,2,FALSE),"Merchant not found")</f>
        <v>Merchant_022</v>
      </c>
      <c r="J138" t="str">
        <f>IFERROR(VLOOKUP(C138,Merchants!$A$2:$D$41,3,FALSE),"Merchant not found")</f>
        <v>travel</v>
      </c>
      <c r="K138" t="str">
        <f>IFERROR(VLOOKUP(C138,Merchants!$A$2:$D$41,4,FALSE), "Merchant Not Fount")</f>
        <v>South</v>
      </c>
      <c r="L138" s="2">
        <f>HLOOKUP(F138,HLOOKUP_Reference!$A$1:$E$2,2,FALSE)</f>
        <v>2E-3</v>
      </c>
      <c r="M138">
        <f>SUMIFS(Daily_Merchant_Pivot!$E:$E,Daily_Merchant_Pivot!$A:$A,C138,Daily_Merchant_Pivot!$D:$D,INT(D138))</f>
        <v>49</v>
      </c>
      <c r="N138" t="str">
        <f t="shared" si="4"/>
        <v>Normal Merchant Day</v>
      </c>
      <c r="O138" s="7">
        <f t="shared" si="5"/>
        <v>46045</v>
      </c>
    </row>
    <row r="139" spans="1:15" x14ac:dyDescent="0.3">
      <c r="A139" t="s">
        <v>152</v>
      </c>
      <c r="B139">
        <v>163</v>
      </c>
      <c r="C139">
        <v>32</v>
      </c>
      <c r="D139" s="1">
        <v>46050.724999999999</v>
      </c>
      <c r="E139">
        <v>2999</v>
      </c>
      <c r="F139" t="s">
        <v>9</v>
      </c>
      <c r="G139" t="s">
        <v>25</v>
      </c>
      <c r="H139">
        <v>69</v>
      </c>
      <c r="I139" t="str">
        <f>IFERROR(VLOOKUP(C139,Merchants!$A$2:$D$41,2,FALSE),"Merchant not found")</f>
        <v>Merchant_032</v>
      </c>
      <c r="J139" t="str">
        <f>IFERROR(VLOOKUP(C139,Merchants!$A$2:$D$41,3,FALSE),"Merchant not found")</f>
        <v>food_delivery</v>
      </c>
      <c r="K139" t="str">
        <f>IFERROR(VLOOKUP(C139,Merchants!$A$2:$D$41,4,FALSE), "Merchant Not Fount")</f>
        <v>West</v>
      </c>
      <c r="L139" s="2">
        <f>HLOOKUP(F139,HLOOKUP_Reference!$A$1:$E$2,2,FALSE)</f>
        <v>6.4999999999999997E-3</v>
      </c>
      <c r="M139">
        <f>SUMIFS(Daily_Merchant_Pivot!$E:$E,Daily_Merchant_Pivot!$A:$A,C139,Daily_Merchant_Pivot!$D:$D,INT(D139))</f>
        <v>2999</v>
      </c>
      <c r="N139" t="str">
        <f t="shared" si="4"/>
        <v>Normal Merchant Day</v>
      </c>
      <c r="O139" s="7">
        <f t="shared" si="5"/>
        <v>46050</v>
      </c>
    </row>
    <row r="140" spans="1:15" x14ac:dyDescent="0.3">
      <c r="A140" t="s">
        <v>153</v>
      </c>
      <c r="B140">
        <v>121</v>
      </c>
      <c r="C140">
        <v>19</v>
      </c>
      <c r="D140" s="1">
        <v>46024.794444444444</v>
      </c>
      <c r="E140">
        <v>149</v>
      </c>
      <c r="F140" t="s">
        <v>12</v>
      </c>
      <c r="G140" t="s">
        <v>10</v>
      </c>
      <c r="H140">
        <v>29</v>
      </c>
      <c r="I140" t="str">
        <f>IFERROR(VLOOKUP(C140,Merchants!$A$2:$D$41,2,FALSE),"Merchant not found")</f>
        <v>Merchant_019</v>
      </c>
      <c r="J140" t="str">
        <f>IFERROR(VLOOKUP(C140,Merchants!$A$2:$D$41,3,FALSE),"Merchant not found")</f>
        <v>grocery</v>
      </c>
      <c r="K140" t="str">
        <f>IFERROR(VLOOKUP(C140,Merchants!$A$2:$D$41,4,FALSE), "Merchant Not Fount")</f>
        <v>North</v>
      </c>
      <c r="L140" s="2">
        <f>HLOOKUP(F140,HLOOKUP_Reference!$A$1:$E$2,2,FALSE)</f>
        <v>2E-3</v>
      </c>
      <c r="M140">
        <f>SUMIFS(Daily_Merchant_Pivot!$E:$E,Daily_Merchant_Pivot!$A:$A,C140,Daily_Merchant_Pivot!$D:$D,INT(D140))</f>
        <v>149</v>
      </c>
      <c r="N140" t="str">
        <f t="shared" si="4"/>
        <v>Normal Merchant Day</v>
      </c>
      <c r="O140" s="7">
        <f t="shared" si="5"/>
        <v>46024</v>
      </c>
    </row>
    <row r="141" spans="1:15" x14ac:dyDescent="0.3">
      <c r="A141" t="s">
        <v>154</v>
      </c>
      <c r="B141">
        <v>51</v>
      </c>
      <c r="C141">
        <v>7</v>
      </c>
      <c r="D141" s="1">
        <v>46046.102083333331</v>
      </c>
      <c r="E141">
        <v>499</v>
      </c>
      <c r="F141" t="s">
        <v>24</v>
      </c>
      <c r="G141" t="s">
        <v>10</v>
      </c>
      <c r="H141">
        <v>56</v>
      </c>
      <c r="I141" t="str">
        <f>IFERROR(VLOOKUP(C141,Merchants!$A$2:$D$41,2,FALSE),"Merchant not found")</f>
        <v>Merchant_007</v>
      </c>
      <c r="J141" t="str">
        <f>IFERROR(VLOOKUP(C141,Merchants!$A$2:$D$41,3,FALSE),"Merchant not found")</f>
        <v>food_delivery</v>
      </c>
      <c r="K141" t="str">
        <f>IFERROR(VLOOKUP(C141,Merchants!$A$2:$D$41,4,FALSE), "Merchant Not Fount")</f>
        <v>East</v>
      </c>
      <c r="L141" s="2">
        <f>HLOOKUP(F141,HLOOKUP_Reference!$A$1:$E$2,2,FALSE)</f>
        <v>1.4999999999999999E-2</v>
      </c>
      <c r="M141">
        <f>SUMIFS(Daily_Merchant_Pivot!$E:$E,Daily_Merchant_Pivot!$A:$A,C141,Daily_Merchant_Pivot!$D:$D,INT(D141))</f>
        <v>1298</v>
      </c>
      <c r="N141" t="str">
        <f t="shared" si="4"/>
        <v>Normal Merchant Day</v>
      </c>
      <c r="O141" s="7">
        <f t="shared" si="5"/>
        <v>46046</v>
      </c>
    </row>
    <row r="142" spans="1:15" x14ac:dyDescent="0.3">
      <c r="A142" t="s">
        <v>155</v>
      </c>
      <c r="B142">
        <v>15</v>
      </c>
      <c r="C142">
        <v>3</v>
      </c>
      <c r="D142" s="1">
        <v>46028.929861111108</v>
      </c>
      <c r="E142">
        <v>799</v>
      </c>
      <c r="F142" t="s">
        <v>12</v>
      </c>
      <c r="G142" t="s">
        <v>10</v>
      </c>
      <c r="H142">
        <v>41</v>
      </c>
      <c r="I142" t="str">
        <f>IFERROR(VLOOKUP(C142,Merchants!$A$2:$D$41,2,FALSE),"Merchant not found")</f>
        <v>Merchant_003</v>
      </c>
      <c r="J142" t="str">
        <f>IFERROR(VLOOKUP(C142,Merchants!$A$2:$D$41,3,FALSE),"Merchant not found")</f>
        <v>grocery</v>
      </c>
      <c r="K142" t="str">
        <f>IFERROR(VLOOKUP(C142,Merchants!$A$2:$D$41,4,FALSE), "Merchant Not Fount")</f>
        <v>East</v>
      </c>
      <c r="L142" s="2">
        <f>HLOOKUP(F142,HLOOKUP_Reference!$A$1:$E$2,2,FALSE)</f>
        <v>2E-3</v>
      </c>
      <c r="M142">
        <f>SUMIFS(Daily_Merchant_Pivot!$E:$E,Daily_Merchant_Pivot!$A:$A,C142,Daily_Merchant_Pivot!$D:$D,INT(D142))</f>
        <v>898</v>
      </c>
      <c r="N142" t="str">
        <f t="shared" si="4"/>
        <v>Normal Merchant Day</v>
      </c>
      <c r="O142" s="7">
        <f t="shared" si="5"/>
        <v>46028</v>
      </c>
    </row>
    <row r="143" spans="1:15" x14ac:dyDescent="0.3">
      <c r="A143" t="s">
        <v>156</v>
      </c>
      <c r="B143">
        <v>184</v>
      </c>
      <c r="C143">
        <v>24</v>
      </c>
      <c r="D143" s="1">
        <v>46048.054166666669</v>
      </c>
      <c r="E143">
        <v>49</v>
      </c>
      <c r="F143" t="s">
        <v>12</v>
      </c>
      <c r="G143" t="s">
        <v>10</v>
      </c>
      <c r="H143">
        <v>55</v>
      </c>
      <c r="I143" t="str">
        <f>IFERROR(VLOOKUP(C143,Merchants!$A$2:$D$41,2,FALSE),"Merchant not found")</f>
        <v>Merchant_024</v>
      </c>
      <c r="J143" t="str">
        <f>IFERROR(VLOOKUP(C143,Merchants!$A$2:$D$41,3,FALSE),"Merchant not found")</f>
        <v>grocery</v>
      </c>
      <c r="K143" t="str">
        <f>IFERROR(VLOOKUP(C143,Merchants!$A$2:$D$41,4,FALSE), "Merchant Not Fount")</f>
        <v>North</v>
      </c>
      <c r="L143" s="2">
        <f>HLOOKUP(F143,HLOOKUP_Reference!$A$1:$E$2,2,FALSE)</f>
        <v>2E-3</v>
      </c>
      <c r="M143">
        <f>SUMIFS(Daily_Merchant_Pivot!$E:$E,Daily_Merchant_Pivot!$A:$A,C143,Daily_Merchant_Pivot!$D:$D,INT(D143))</f>
        <v>348</v>
      </c>
      <c r="N143" t="str">
        <f t="shared" si="4"/>
        <v>Normal Merchant Day</v>
      </c>
      <c r="O143" s="7">
        <f t="shared" si="5"/>
        <v>46048</v>
      </c>
    </row>
    <row r="144" spans="1:15" x14ac:dyDescent="0.3">
      <c r="A144" t="s">
        <v>157</v>
      </c>
      <c r="B144">
        <v>211</v>
      </c>
      <c r="C144">
        <v>37</v>
      </c>
      <c r="D144" s="1">
        <v>46027.314583333333</v>
      </c>
      <c r="E144">
        <v>1499</v>
      </c>
      <c r="F144" t="s">
        <v>12</v>
      </c>
      <c r="G144" t="s">
        <v>10</v>
      </c>
      <c r="H144">
        <v>87</v>
      </c>
      <c r="I144" t="str">
        <f>IFERROR(VLOOKUP(C144,Merchants!$A$2:$D$41,2,FALSE),"Merchant not found")</f>
        <v>Merchant_037</v>
      </c>
      <c r="J144" t="str">
        <f>IFERROR(VLOOKUP(C144,Merchants!$A$2:$D$41,3,FALSE),"Merchant not found")</f>
        <v>entertainment</v>
      </c>
      <c r="K144" t="str">
        <f>IFERROR(VLOOKUP(C144,Merchants!$A$2:$D$41,4,FALSE), "Merchant Not Fount")</f>
        <v>South</v>
      </c>
      <c r="L144" s="2">
        <f>HLOOKUP(F144,HLOOKUP_Reference!$A$1:$E$2,2,FALSE)</f>
        <v>2E-3</v>
      </c>
      <c r="M144">
        <f>SUMIFS(Daily_Merchant_Pivot!$E:$E,Daily_Merchant_Pivot!$A:$A,C144,Daily_Merchant_Pivot!$D:$D,INT(D144))</f>
        <v>1499</v>
      </c>
      <c r="N144" t="str">
        <f t="shared" si="4"/>
        <v>Normal Merchant Day</v>
      </c>
      <c r="O144" s="7">
        <f t="shared" si="5"/>
        <v>46027</v>
      </c>
    </row>
    <row r="145" spans="1:15" x14ac:dyDescent="0.3">
      <c r="A145" t="s">
        <v>158</v>
      </c>
      <c r="B145">
        <v>90</v>
      </c>
      <c r="C145">
        <v>6</v>
      </c>
      <c r="D145" s="1">
        <v>46048.215277777781</v>
      </c>
      <c r="E145">
        <v>49</v>
      </c>
      <c r="F145" t="s">
        <v>24</v>
      </c>
      <c r="G145" t="s">
        <v>10</v>
      </c>
      <c r="H145">
        <v>78</v>
      </c>
      <c r="I145" t="str">
        <f>IFERROR(VLOOKUP(C145,Merchants!$A$2:$D$41,2,FALSE),"Merchant not found")</f>
        <v>Merchant_006</v>
      </c>
      <c r="J145" t="str">
        <f>IFERROR(VLOOKUP(C145,Merchants!$A$2:$D$41,3,FALSE),"Merchant not found")</f>
        <v>food_delivery</v>
      </c>
      <c r="K145" t="str">
        <f>IFERROR(VLOOKUP(C145,Merchants!$A$2:$D$41,4,FALSE), "Merchant Not Fount")</f>
        <v>South</v>
      </c>
      <c r="L145" s="2">
        <f>HLOOKUP(F145,HLOOKUP_Reference!$A$1:$E$2,2,FALSE)</f>
        <v>1.4999999999999999E-2</v>
      </c>
      <c r="M145">
        <f>SUMIFS(Daily_Merchant_Pivot!$E:$E,Daily_Merchant_Pivot!$A:$A,C145,Daily_Merchant_Pivot!$D:$D,INT(D145))</f>
        <v>897</v>
      </c>
      <c r="N145" t="str">
        <f t="shared" si="4"/>
        <v>Normal Merchant Day</v>
      </c>
      <c r="O145" s="7">
        <f t="shared" si="5"/>
        <v>46048</v>
      </c>
    </row>
    <row r="146" spans="1:15" x14ac:dyDescent="0.3">
      <c r="A146" t="s">
        <v>159</v>
      </c>
      <c r="B146">
        <v>350</v>
      </c>
      <c r="C146">
        <v>16</v>
      </c>
      <c r="D146" s="1">
        <v>46050.527083333334</v>
      </c>
      <c r="E146">
        <v>49</v>
      </c>
      <c r="F146" t="s">
        <v>12</v>
      </c>
      <c r="G146" t="s">
        <v>10</v>
      </c>
      <c r="H146">
        <v>63</v>
      </c>
      <c r="I146" t="str">
        <f>IFERROR(VLOOKUP(C146,Merchants!$A$2:$D$41,2,FALSE),"Merchant not found")</f>
        <v>Merchant_016</v>
      </c>
      <c r="J146" t="str">
        <f>IFERROR(VLOOKUP(C146,Merchants!$A$2:$D$41,3,FALSE),"Merchant not found")</f>
        <v>bill_payment</v>
      </c>
      <c r="K146" t="str">
        <f>IFERROR(VLOOKUP(C146,Merchants!$A$2:$D$41,4,FALSE), "Merchant Not Fount")</f>
        <v>West</v>
      </c>
      <c r="L146" s="2">
        <f>HLOOKUP(F146,HLOOKUP_Reference!$A$1:$E$2,2,FALSE)</f>
        <v>2E-3</v>
      </c>
      <c r="M146">
        <f>SUMIFS(Daily_Merchant_Pivot!$E:$E,Daily_Merchant_Pivot!$A:$A,C146,Daily_Merchant_Pivot!$D:$D,INT(D146))</f>
        <v>49</v>
      </c>
      <c r="N146" t="str">
        <f t="shared" si="4"/>
        <v>Normal Merchant Day</v>
      </c>
      <c r="O146" s="7">
        <f t="shared" si="5"/>
        <v>46050</v>
      </c>
    </row>
    <row r="147" spans="1:15" x14ac:dyDescent="0.3">
      <c r="A147" t="s">
        <v>160</v>
      </c>
      <c r="B147">
        <v>119</v>
      </c>
      <c r="C147">
        <v>30</v>
      </c>
      <c r="D147" s="1">
        <v>46052.756249999999</v>
      </c>
      <c r="E147">
        <v>49</v>
      </c>
      <c r="F147" t="s">
        <v>24</v>
      </c>
      <c r="G147" t="s">
        <v>10</v>
      </c>
      <c r="H147">
        <v>81</v>
      </c>
      <c r="I147" t="str">
        <f>IFERROR(VLOOKUP(C147,Merchants!$A$2:$D$41,2,FALSE),"Merchant not found")</f>
        <v>Merchant_030</v>
      </c>
      <c r="J147" t="str">
        <f>IFERROR(VLOOKUP(C147,Merchants!$A$2:$D$41,3,FALSE),"Merchant not found")</f>
        <v>travel</v>
      </c>
      <c r="K147" t="str">
        <f>IFERROR(VLOOKUP(C147,Merchants!$A$2:$D$41,4,FALSE), "Merchant Not Fount")</f>
        <v>West</v>
      </c>
      <c r="L147" s="2">
        <f>HLOOKUP(F147,HLOOKUP_Reference!$A$1:$E$2,2,FALSE)</f>
        <v>1.4999999999999999E-2</v>
      </c>
      <c r="M147">
        <f>SUMIFS(Daily_Merchant_Pivot!$E:$E,Daily_Merchant_Pivot!$A:$A,C147,Daily_Merchant_Pivot!$D:$D,INT(D147))</f>
        <v>49</v>
      </c>
      <c r="N147" t="str">
        <f t="shared" si="4"/>
        <v>Normal Merchant Day</v>
      </c>
      <c r="O147" s="7">
        <f t="shared" si="5"/>
        <v>46052</v>
      </c>
    </row>
    <row r="148" spans="1:15" x14ac:dyDescent="0.3">
      <c r="A148" t="s">
        <v>161</v>
      </c>
      <c r="B148">
        <v>342</v>
      </c>
      <c r="C148">
        <v>1</v>
      </c>
      <c r="D148" s="1">
        <v>46031.594444444447</v>
      </c>
      <c r="E148">
        <v>49</v>
      </c>
      <c r="F148" t="s">
        <v>12</v>
      </c>
      <c r="G148" t="s">
        <v>10</v>
      </c>
      <c r="H148">
        <v>59</v>
      </c>
      <c r="I148" t="str">
        <f>IFERROR(VLOOKUP(C148,Merchants!$A$2:$D$41,2,FALSE),"Merchant not found")</f>
        <v>Merchant_001</v>
      </c>
      <c r="J148" t="str">
        <f>IFERROR(VLOOKUP(C148,Merchants!$A$2:$D$41,3,FALSE),"Merchant not found")</f>
        <v>ecommerce</v>
      </c>
      <c r="K148" t="str">
        <f>IFERROR(VLOOKUP(C148,Merchants!$A$2:$D$41,4,FALSE), "Merchant Not Fount")</f>
        <v>South</v>
      </c>
      <c r="L148" s="2">
        <f>HLOOKUP(F148,HLOOKUP_Reference!$A$1:$E$2,2,FALSE)</f>
        <v>2E-3</v>
      </c>
      <c r="M148">
        <f>SUMIFS(Daily_Merchant_Pivot!$E:$E,Daily_Merchant_Pivot!$A:$A,C148,Daily_Merchant_Pivot!$D:$D,INT(D148))</f>
        <v>5048</v>
      </c>
      <c r="N148" t="str">
        <f t="shared" si="4"/>
        <v>High-Value Merchant Day</v>
      </c>
      <c r="O148" s="7">
        <f t="shared" si="5"/>
        <v>46031</v>
      </c>
    </row>
    <row r="149" spans="1:15" x14ac:dyDescent="0.3">
      <c r="A149" t="s">
        <v>162</v>
      </c>
      <c r="B149">
        <v>280</v>
      </c>
      <c r="C149">
        <v>11</v>
      </c>
      <c r="D149" s="1">
        <v>46051.404861111114</v>
      </c>
      <c r="E149">
        <v>149</v>
      </c>
      <c r="F149" t="s">
        <v>12</v>
      </c>
      <c r="G149" t="s">
        <v>38</v>
      </c>
      <c r="H149">
        <v>9</v>
      </c>
      <c r="I149" t="str">
        <f>IFERROR(VLOOKUP(C149,Merchants!$A$2:$D$41,2,FALSE),"Merchant not found")</f>
        <v>Merchant_011</v>
      </c>
      <c r="J149" t="str">
        <f>IFERROR(VLOOKUP(C149,Merchants!$A$2:$D$41,3,FALSE),"Merchant not found")</f>
        <v>ecommerce</v>
      </c>
      <c r="K149" t="str">
        <f>IFERROR(VLOOKUP(C149,Merchants!$A$2:$D$41,4,FALSE), "Merchant Not Fount")</f>
        <v>North</v>
      </c>
      <c r="L149" s="2">
        <f>HLOOKUP(F149,HLOOKUP_Reference!$A$1:$E$2,2,FALSE)</f>
        <v>2E-3</v>
      </c>
      <c r="M149">
        <f>SUMIFS(Daily_Merchant_Pivot!$E:$E,Daily_Merchant_Pivot!$A:$A,C149,Daily_Merchant_Pivot!$D:$D,INT(D149))</f>
        <v>149</v>
      </c>
      <c r="N149" t="str">
        <f t="shared" si="4"/>
        <v>Normal Merchant Day</v>
      </c>
      <c r="O149" s="7">
        <f t="shared" si="5"/>
        <v>46051</v>
      </c>
    </row>
    <row r="150" spans="1:15" x14ac:dyDescent="0.3">
      <c r="A150" t="s">
        <v>163</v>
      </c>
      <c r="B150">
        <v>154</v>
      </c>
      <c r="C150">
        <v>28</v>
      </c>
      <c r="D150" s="1">
        <v>46037.484027777777</v>
      </c>
      <c r="E150">
        <v>2999</v>
      </c>
      <c r="F150" t="s">
        <v>15</v>
      </c>
      <c r="G150" t="s">
        <v>10</v>
      </c>
      <c r="H150">
        <v>88</v>
      </c>
      <c r="I150" t="str">
        <f>IFERROR(VLOOKUP(C150,Merchants!$A$2:$D$41,2,FALSE),"Merchant not found")</f>
        <v>Merchant_028</v>
      </c>
      <c r="J150" t="str">
        <f>IFERROR(VLOOKUP(C150,Merchants!$A$2:$D$41,3,FALSE),"Merchant not found")</f>
        <v>ecommerce</v>
      </c>
      <c r="K150" t="str">
        <f>IFERROR(VLOOKUP(C150,Merchants!$A$2:$D$41,4,FALSE), "Merchant Not Fount")</f>
        <v>South</v>
      </c>
      <c r="L150" s="2">
        <f>HLOOKUP(F150,HLOOKUP_Reference!$A$1:$E$2,2,FALSE)</f>
        <v>0.01</v>
      </c>
      <c r="M150">
        <f>SUMIFS(Daily_Merchant_Pivot!$E:$E,Daily_Merchant_Pivot!$A:$A,C150,Daily_Merchant_Pivot!$D:$D,INT(D150))</f>
        <v>2999</v>
      </c>
      <c r="N150" t="str">
        <f t="shared" si="4"/>
        <v>Normal Merchant Day</v>
      </c>
      <c r="O150" s="7">
        <f t="shared" si="5"/>
        <v>46037</v>
      </c>
    </row>
    <row r="151" spans="1:15" x14ac:dyDescent="0.3">
      <c r="A151" t="s">
        <v>164</v>
      </c>
      <c r="B151">
        <v>155</v>
      </c>
      <c r="C151">
        <v>13</v>
      </c>
      <c r="D151" s="1">
        <v>46031.620833333334</v>
      </c>
      <c r="E151">
        <v>149</v>
      </c>
      <c r="F151" t="s">
        <v>12</v>
      </c>
      <c r="G151" t="s">
        <v>10</v>
      </c>
      <c r="H151">
        <v>49</v>
      </c>
      <c r="I151" t="str">
        <f>IFERROR(VLOOKUP(C151,Merchants!$A$2:$D$41,2,FALSE),"Merchant not found")</f>
        <v>Merchant_013</v>
      </c>
      <c r="J151" t="str">
        <f>IFERROR(VLOOKUP(C151,Merchants!$A$2:$D$41,3,FALSE),"Merchant not found")</f>
        <v>travel</v>
      </c>
      <c r="K151" t="str">
        <f>IFERROR(VLOOKUP(C151,Merchants!$A$2:$D$41,4,FALSE), "Merchant Not Fount")</f>
        <v>East</v>
      </c>
      <c r="L151" s="2">
        <f>HLOOKUP(F151,HLOOKUP_Reference!$A$1:$E$2,2,FALSE)</f>
        <v>2E-3</v>
      </c>
      <c r="M151">
        <f>SUMIFS(Daily_Merchant_Pivot!$E:$E,Daily_Merchant_Pivot!$A:$A,C151,Daily_Merchant_Pivot!$D:$D,INT(D151))</f>
        <v>198</v>
      </c>
      <c r="N151" t="str">
        <f t="shared" si="4"/>
        <v>Normal Merchant Day</v>
      </c>
      <c r="O151" s="7">
        <f t="shared" si="5"/>
        <v>46031</v>
      </c>
    </row>
    <row r="152" spans="1:15" x14ac:dyDescent="0.3">
      <c r="A152" t="s">
        <v>165</v>
      </c>
      <c r="B152">
        <v>122</v>
      </c>
      <c r="C152">
        <v>25</v>
      </c>
      <c r="D152" s="1">
        <v>46050.629166666666</v>
      </c>
      <c r="E152">
        <v>299</v>
      </c>
      <c r="F152" t="s">
        <v>12</v>
      </c>
      <c r="G152" t="s">
        <v>10</v>
      </c>
      <c r="H152">
        <v>73</v>
      </c>
      <c r="I152" t="str">
        <f>IFERROR(VLOOKUP(C152,Merchants!$A$2:$D$41,2,FALSE),"Merchant not found")</f>
        <v>Merchant_025</v>
      </c>
      <c r="J152" t="str">
        <f>IFERROR(VLOOKUP(C152,Merchants!$A$2:$D$41,3,FALSE),"Merchant not found")</f>
        <v>travel</v>
      </c>
      <c r="K152" t="str">
        <f>IFERROR(VLOOKUP(C152,Merchants!$A$2:$D$41,4,FALSE), "Merchant Not Fount")</f>
        <v>South</v>
      </c>
      <c r="L152" s="2">
        <f>HLOOKUP(F152,HLOOKUP_Reference!$A$1:$E$2,2,FALSE)</f>
        <v>2E-3</v>
      </c>
      <c r="M152">
        <f>SUMIFS(Daily_Merchant_Pivot!$E:$E,Daily_Merchant_Pivot!$A:$A,C152,Daily_Merchant_Pivot!$D:$D,INT(D152))</f>
        <v>299</v>
      </c>
      <c r="N152" t="str">
        <f t="shared" si="4"/>
        <v>Normal Merchant Day</v>
      </c>
      <c r="O152" s="7">
        <f t="shared" si="5"/>
        <v>46050</v>
      </c>
    </row>
    <row r="153" spans="1:15" x14ac:dyDescent="0.3">
      <c r="A153" t="s">
        <v>166</v>
      </c>
      <c r="B153">
        <v>152</v>
      </c>
      <c r="C153">
        <v>2</v>
      </c>
      <c r="D153" s="1">
        <v>46034.762499999997</v>
      </c>
      <c r="E153">
        <v>49</v>
      </c>
      <c r="F153" t="s">
        <v>12</v>
      </c>
      <c r="G153" t="s">
        <v>10</v>
      </c>
      <c r="H153">
        <v>84</v>
      </c>
      <c r="I153" t="str">
        <f>IFERROR(VLOOKUP(C153,Merchants!$A$2:$D$41,2,FALSE),"Merchant not found")</f>
        <v>Merchant_002</v>
      </c>
      <c r="J153" t="str">
        <f>IFERROR(VLOOKUP(C153,Merchants!$A$2:$D$41,3,FALSE),"Merchant not found")</f>
        <v>grocery</v>
      </c>
      <c r="K153" t="str">
        <f>IFERROR(VLOOKUP(C153,Merchants!$A$2:$D$41,4,FALSE), "Merchant Not Fount")</f>
        <v>West</v>
      </c>
      <c r="L153" s="2">
        <f>HLOOKUP(F153,HLOOKUP_Reference!$A$1:$E$2,2,FALSE)</f>
        <v>2E-3</v>
      </c>
      <c r="M153">
        <f>SUMIFS(Daily_Merchant_Pivot!$E:$E,Daily_Merchant_Pivot!$A:$A,C153,Daily_Merchant_Pivot!$D:$D,INT(D153))</f>
        <v>348</v>
      </c>
      <c r="N153" t="str">
        <f t="shared" si="4"/>
        <v>Normal Merchant Day</v>
      </c>
      <c r="O153" s="7">
        <f t="shared" si="5"/>
        <v>46034</v>
      </c>
    </row>
    <row r="154" spans="1:15" x14ac:dyDescent="0.3">
      <c r="A154" t="s">
        <v>167</v>
      </c>
      <c r="B154">
        <v>290</v>
      </c>
      <c r="C154">
        <v>4</v>
      </c>
      <c r="D154" s="1">
        <v>46035.333333333336</v>
      </c>
      <c r="E154">
        <v>149</v>
      </c>
      <c r="F154" t="s">
        <v>12</v>
      </c>
      <c r="G154" t="s">
        <v>10</v>
      </c>
      <c r="H154">
        <v>77</v>
      </c>
      <c r="I154" t="str">
        <f>IFERROR(VLOOKUP(C154,Merchants!$A$2:$D$41,2,FALSE),"Merchant not found")</f>
        <v>Merchant_004</v>
      </c>
      <c r="J154" t="str">
        <f>IFERROR(VLOOKUP(C154,Merchants!$A$2:$D$41,3,FALSE),"Merchant not found")</f>
        <v>ecommerce</v>
      </c>
      <c r="K154" t="str">
        <f>IFERROR(VLOOKUP(C154,Merchants!$A$2:$D$41,4,FALSE), "Merchant Not Fount")</f>
        <v>East</v>
      </c>
      <c r="L154" s="2">
        <f>HLOOKUP(F154,HLOOKUP_Reference!$A$1:$E$2,2,FALSE)</f>
        <v>2E-3</v>
      </c>
      <c r="M154">
        <f>SUMIFS(Daily_Merchant_Pivot!$E:$E,Daily_Merchant_Pivot!$A:$A,C154,Daily_Merchant_Pivot!$D:$D,INT(D154))</f>
        <v>948</v>
      </c>
      <c r="N154" t="str">
        <f t="shared" si="4"/>
        <v>Normal Merchant Day</v>
      </c>
      <c r="O154" s="7">
        <f t="shared" si="5"/>
        <v>46035</v>
      </c>
    </row>
    <row r="155" spans="1:15" x14ac:dyDescent="0.3">
      <c r="A155" t="s">
        <v>168</v>
      </c>
      <c r="B155">
        <v>147</v>
      </c>
      <c r="C155">
        <v>15</v>
      </c>
      <c r="D155" s="1">
        <v>46046.661805555559</v>
      </c>
      <c r="E155">
        <v>49</v>
      </c>
      <c r="F155" t="s">
        <v>9</v>
      </c>
      <c r="G155" t="s">
        <v>10</v>
      </c>
      <c r="H155">
        <v>77</v>
      </c>
      <c r="I155" t="str">
        <f>IFERROR(VLOOKUP(C155,Merchants!$A$2:$D$41,2,FALSE),"Merchant not found")</f>
        <v>Merchant_015</v>
      </c>
      <c r="J155" t="str">
        <f>IFERROR(VLOOKUP(C155,Merchants!$A$2:$D$41,3,FALSE),"Merchant not found")</f>
        <v>travel</v>
      </c>
      <c r="K155" t="str">
        <f>IFERROR(VLOOKUP(C155,Merchants!$A$2:$D$41,4,FALSE), "Merchant Not Fount")</f>
        <v>North</v>
      </c>
      <c r="L155" s="2">
        <f>HLOOKUP(F155,HLOOKUP_Reference!$A$1:$E$2,2,FALSE)</f>
        <v>6.4999999999999997E-3</v>
      </c>
      <c r="M155">
        <f>SUMIFS(Daily_Merchant_Pivot!$E:$E,Daily_Merchant_Pivot!$A:$A,C155,Daily_Merchant_Pivot!$D:$D,INT(D155))</f>
        <v>148</v>
      </c>
      <c r="N155" t="str">
        <f t="shared" si="4"/>
        <v>Normal Merchant Day</v>
      </c>
      <c r="O155" s="7">
        <f t="shared" si="5"/>
        <v>46046</v>
      </c>
    </row>
    <row r="156" spans="1:15" x14ac:dyDescent="0.3">
      <c r="A156" t="s">
        <v>169</v>
      </c>
      <c r="B156">
        <v>326</v>
      </c>
      <c r="C156">
        <v>13</v>
      </c>
      <c r="D156" s="1">
        <v>46048.468055555553</v>
      </c>
      <c r="E156">
        <v>299</v>
      </c>
      <c r="F156" t="s">
        <v>15</v>
      </c>
      <c r="G156" t="s">
        <v>10</v>
      </c>
      <c r="H156">
        <v>79</v>
      </c>
      <c r="I156" t="str">
        <f>IFERROR(VLOOKUP(C156,Merchants!$A$2:$D$41,2,FALSE),"Merchant not found")</f>
        <v>Merchant_013</v>
      </c>
      <c r="J156" t="str">
        <f>IFERROR(VLOOKUP(C156,Merchants!$A$2:$D$41,3,FALSE),"Merchant not found")</f>
        <v>travel</v>
      </c>
      <c r="K156" t="str">
        <f>IFERROR(VLOOKUP(C156,Merchants!$A$2:$D$41,4,FALSE), "Merchant Not Fount")</f>
        <v>East</v>
      </c>
      <c r="L156" s="2">
        <f>HLOOKUP(F156,HLOOKUP_Reference!$A$1:$E$2,2,FALSE)</f>
        <v>0.01</v>
      </c>
      <c r="M156">
        <f>SUMIFS(Daily_Merchant_Pivot!$E:$E,Daily_Merchant_Pivot!$A:$A,C156,Daily_Merchant_Pivot!$D:$D,INT(D156))</f>
        <v>299</v>
      </c>
      <c r="N156" t="str">
        <f t="shared" si="4"/>
        <v>Normal Merchant Day</v>
      </c>
      <c r="O156" s="7">
        <f t="shared" si="5"/>
        <v>46048</v>
      </c>
    </row>
    <row r="157" spans="1:15" x14ac:dyDescent="0.3">
      <c r="A157" t="s">
        <v>170</v>
      </c>
      <c r="B157">
        <v>338</v>
      </c>
      <c r="C157">
        <v>9</v>
      </c>
      <c r="D157" s="1">
        <v>46031.908333333333</v>
      </c>
      <c r="E157">
        <v>99</v>
      </c>
      <c r="F157" t="s">
        <v>24</v>
      </c>
      <c r="G157" t="s">
        <v>10</v>
      </c>
      <c r="H157">
        <v>80</v>
      </c>
      <c r="I157" t="str">
        <f>IFERROR(VLOOKUP(C157,Merchants!$A$2:$D$41,2,FALSE),"Merchant not found")</f>
        <v>Merchant_009</v>
      </c>
      <c r="J157" t="str">
        <f>IFERROR(VLOOKUP(C157,Merchants!$A$2:$D$41,3,FALSE),"Merchant not found")</f>
        <v>ecommerce</v>
      </c>
      <c r="K157" t="str">
        <f>IFERROR(VLOOKUP(C157,Merchants!$A$2:$D$41,4,FALSE), "Merchant Not Fount")</f>
        <v>North</v>
      </c>
      <c r="L157" s="2">
        <f>HLOOKUP(F157,HLOOKUP_Reference!$A$1:$E$2,2,FALSE)</f>
        <v>1.4999999999999999E-2</v>
      </c>
      <c r="M157">
        <f>SUMIFS(Daily_Merchant_Pivot!$E:$E,Daily_Merchant_Pivot!$A:$A,C157,Daily_Merchant_Pivot!$D:$D,INT(D157))</f>
        <v>99</v>
      </c>
      <c r="N157" t="str">
        <f t="shared" si="4"/>
        <v>Normal Merchant Day</v>
      </c>
      <c r="O157" s="7">
        <f t="shared" si="5"/>
        <v>46031</v>
      </c>
    </row>
    <row r="158" spans="1:15" x14ac:dyDescent="0.3">
      <c r="A158" t="s">
        <v>171</v>
      </c>
      <c r="B158">
        <v>21</v>
      </c>
      <c r="C158">
        <v>20</v>
      </c>
      <c r="D158" s="1">
        <v>46026.861805555556</v>
      </c>
      <c r="E158">
        <v>2999</v>
      </c>
      <c r="F158" t="s">
        <v>12</v>
      </c>
      <c r="G158" t="s">
        <v>10</v>
      </c>
      <c r="H158">
        <v>100</v>
      </c>
      <c r="I158" t="str">
        <f>IFERROR(VLOOKUP(C158,Merchants!$A$2:$D$41,2,FALSE),"Merchant not found")</f>
        <v>Merchant_020</v>
      </c>
      <c r="J158" t="str">
        <f>IFERROR(VLOOKUP(C158,Merchants!$A$2:$D$41,3,FALSE),"Merchant not found")</f>
        <v>food_delivery</v>
      </c>
      <c r="K158" t="str">
        <f>IFERROR(VLOOKUP(C158,Merchants!$A$2:$D$41,4,FALSE), "Merchant Not Fount")</f>
        <v>East</v>
      </c>
      <c r="L158" s="2">
        <f>HLOOKUP(F158,HLOOKUP_Reference!$A$1:$E$2,2,FALSE)</f>
        <v>2E-3</v>
      </c>
      <c r="M158">
        <f>SUMIFS(Daily_Merchant_Pivot!$E:$E,Daily_Merchant_Pivot!$A:$A,C158,Daily_Merchant_Pivot!$D:$D,INT(D158))</f>
        <v>2999</v>
      </c>
      <c r="N158" t="str">
        <f t="shared" si="4"/>
        <v>Normal Merchant Day</v>
      </c>
      <c r="O158" s="7">
        <f t="shared" si="5"/>
        <v>46026</v>
      </c>
    </row>
    <row r="159" spans="1:15" x14ac:dyDescent="0.3">
      <c r="A159" t="s">
        <v>172</v>
      </c>
      <c r="B159">
        <v>187</v>
      </c>
      <c r="C159">
        <v>9</v>
      </c>
      <c r="D159" s="1">
        <v>46037.067361111112</v>
      </c>
      <c r="E159">
        <v>49</v>
      </c>
      <c r="F159" t="s">
        <v>24</v>
      </c>
      <c r="G159" t="s">
        <v>25</v>
      </c>
      <c r="H159">
        <v>11</v>
      </c>
      <c r="I159" t="str">
        <f>IFERROR(VLOOKUP(C159,Merchants!$A$2:$D$41,2,FALSE),"Merchant not found")</f>
        <v>Merchant_009</v>
      </c>
      <c r="J159" t="str">
        <f>IFERROR(VLOOKUP(C159,Merchants!$A$2:$D$41,3,FALSE),"Merchant not found")</f>
        <v>ecommerce</v>
      </c>
      <c r="K159" t="str">
        <f>IFERROR(VLOOKUP(C159,Merchants!$A$2:$D$41,4,FALSE), "Merchant Not Fount")</f>
        <v>North</v>
      </c>
      <c r="L159" s="2">
        <f>HLOOKUP(F159,HLOOKUP_Reference!$A$1:$E$2,2,FALSE)</f>
        <v>1.4999999999999999E-2</v>
      </c>
      <c r="M159">
        <f>SUMIFS(Daily_Merchant_Pivot!$E:$E,Daily_Merchant_Pivot!$A:$A,C159,Daily_Merchant_Pivot!$D:$D,INT(D159))</f>
        <v>148</v>
      </c>
      <c r="N159" t="str">
        <f t="shared" si="4"/>
        <v>Normal Merchant Day</v>
      </c>
      <c r="O159" s="7">
        <f t="shared" si="5"/>
        <v>46037</v>
      </c>
    </row>
    <row r="160" spans="1:15" x14ac:dyDescent="0.3">
      <c r="A160" t="s">
        <v>173</v>
      </c>
      <c r="B160">
        <v>213</v>
      </c>
      <c r="C160">
        <v>12</v>
      </c>
      <c r="D160" s="1">
        <v>46052.388888888891</v>
      </c>
      <c r="E160">
        <v>4999</v>
      </c>
      <c r="F160" t="s">
        <v>12</v>
      </c>
      <c r="G160" t="s">
        <v>10</v>
      </c>
      <c r="H160">
        <v>25</v>
      </c>
      <c r="I160" t="str">
        <f>IFERROR(VLOOKUP(C160,Merchants!$A$2:$D$41,2,FALSE),"Merchant not found")</f>
        <v>Merchant_012</v>
      </c>
      <c r="J160" t="str">
        <f>IFERROR(VLOOKUP(C160,Merchants!$A$2:$D$41,3,FALSE),"Merchant not found")</f>
        <v>ecommerce</v>
      </c>
      <c r="K160" t="str">
        <f>IFERROR(VLOOKUP(C160,Merchants!$A$2:$D$41,4,FALSE), "Merchant Not Fount")</f>
        <v>East</v>
      </c>
      <c r="L160" s="2">
        <f>HLOOKUP(F160,HLOOKUP_Reference!$A$1:$E$2,2,FALSE)</f>
        <v>2E-3</v>
      </c>
      <c r="M160">
        <f>SUMIFS(Daily_Merchant_Pivot!$E:$E,Daily_Merchant_Pivot!$A:$A,C160,Daily_Merchant_Pivot!$D:$D,INT(D160))</f>
        <v>4999</v>
      </c>
      <c r="N160" t="str">
        <f t="shared" si="4"/>
        <v>Normal Merchant Day</v>
      </c>
      <c r="O160" s="7">
        <f t="shared" si="5"/>
        <v>46052</v>
      </c>
    </row>
    <row r="161" spans="1:15" x14ac:dyDescent="0.3">
      <c r="A161" t="s">
        <v>174</v>
      </c>
      <c r="B161">
        <v>188</v>
      </c>
      <c r="C161">
        <v>34</v>
      </c>
      <c r="D161" s="1">
        <v>46027.74722222222</v>
      </c>
      <c r="E161">
        <v>2999</v>
      </c>
      <c r="F161" t="s">
        <v>12</v>
      </c>
      <c r="G161" t="s">
        <v>10</v>
      </c>
      <c r="H161">
        <v>64</v>
      </c>
      <c r="I161" t="str">
        <f>IFERROR(VLOOKUP(C161,Merchants!$A$2:$D$41,2,FALSE),"Merchant not found")</f>
        <v>Merchant_034</v>
      </c>
      <c r="J161" t="str">
        <f>IFERROR(VLOOKUP(C161,Merchants!$A$2:$D$41,3,FALSE),"Merchant not found")</f>
        <v>travel</v>
      </c>
      <c r="K161" t="str">
        <f>IFERROR(VLOOKUP(C161,Merchants!$A$2:$D$41,4,FALSE), "Merchant Not Fount")</f>
        <v>South</v>
      </c>
      <c r="L161" s="2">
        <f>HLOOKUP(F161,HLOOKUP_Reference!$A$1:$E$2,2,FALSE)</f>
        <v>2E-3</v>
      </c>
      <c r="M161">
        <f>SUMIFS(Daily_Merchant_Pivot!$E:$E,Daily_Merchant_Pivot!$A:$A,C161,Daily_Merchant_Pivot!$D:$D,INT(D161))</f>
        <v>2999</v>
      </c>
      <c r="N161" t="str">
        <f t="shared" si="4"/>
        <v>Normal Merchant Day</v>
      </c>
      <c r="O161" s="7">
        <f t="shared" si="5"/>
        <v>46027</v>
      </c>
    </row>
    <row r="162" spans="1:15" x14ac:dyDescent="0.3">
      <c r="A162" t="s">
        <v>175</v>
      </c>
      <c r="B162">
        <v>85</v>
      </c>
      <c r="C162">
        <v>17</v>
      </c>
      <c r="D162" s="1">
        <v>46052.370138888888</v>
      </c>
      <c r="E162">
        <v>499</v>
      </c>
      <c r="F162" t="s">
        <v>12</v>
      </c>
      <c r="G162" t="s">
        <v>10</v>
      </c>
      <c r="H162">
        <v>61</v>
      </c>
      <c r="I162" t="str">
        <f>IFERROR(VLOOKUP(C162,Merchants!$A$2:$D$41,2,FALSE),"Merchant not found")</f>
        <v>Merchant_017</v>
      </c>
      <c r="J162" t="str">
        <f>IFERROR(VLOOKUP(C162,Merchants!$A$2:$D$41,3,FALSE),"Merchant not found")</f>
        <v>grocery</v>
      </c>
      <c r="K162" t="str">
        <f>IFERROR(VLOOKUP(C162,Merchants!$A$2:$D$41,4,FALSE), "Merchant Not Fount")</f>
        <v>North</v>
      </c>
      <c r="L162" s="2">
        <f>HLOOKUP(F162,HLOOKUP_Reference!$A$1:$E$2,2,FALSE)</f>
        <v>2E-3</v>
      </c>
      <c r="M162">
        <f>SUMIFS(Daily_Merchant_Pivot!$E:$E,Daily_Merchant_Pivot!$A:$A,C162,Daily_Merchant_Pivot!$D:$D,INT(D162))</f>
        <v>499</v>
      </c>
      <c r="N162" t="str">
        <f t="shared" si="4"/>
        <v>Normal Merchant Day</v>
      </c>
      <c r="O162" s="7">
        <f t="shared" si="5"/>
        <v>46052</v>
      </c>
    </row>
    <row r="163" spans="1:15" x14ac:dyDescent="0.3">
      <c r="A163" t="s">
        <v>176</v>
      </c>
      <c r="B163">
        <v>174</v>
      </c>
      <c r="C163">
        <v>8</v>
      </c>
      <c r="D163" s="1">
        <v>46048.407638888886</v>
      </c>
      <c r="E163">
        <v>299</v>
      </c>
      <c r="F163" t="s">
        <v>15</v>
      </c>
      <c r="G163" t="s">
        <v>10</v>
      </c>
      <c r="H163">
        <v>59</v>
      </c>
      <c r="I163" t="str">
        <f>IFERROR(VLOOKUP(C163,Merchants!$A$2:$D$41,2,FALSE),"Merchant not found")</f>
        <v>Merchant_008</v>
      </c>
      <c r="J163" t="str">
        <f>IFERROR(VLOOKUP(C163,Merchants!$A$2:$D$41,3,FALSE),"Merchant not found")</f>
        <v>food_delivery</v>
      </c>
      <c r="K163" t="str">
        <f>IFERROR(VLOOKUP(C163,Merchants!$A$2:$D$41,4,FALSE), "Merchant Not Fount")</f>
        <v>North</v>
      </c>
      <c r="L163" s="2">
        <f>HLOOKUP(F163,HLOOKUP_Reference!$A$1:$E$2,2,FALSE)</f>
        <v>0.01</v>
      </c>
      <c r="M163">
        <f>SUMIFS(Daily_Merchant_Pivot!$E:$E,Daily_Merchant_Pivot!$A:$A,C163,Daily_Merchant_Pivot!$D:$D,INT(D163))</f>
        <v>598</v>
      </c>
      <c r="N163" t="str">
        <f t="shared" si="4"/>
        <v>Normal Merchant Day</v>
      </c>
      <c r="O163" s="7">
        <f t="shared" si="5"/>
        <v>46048</v>
      </c>
    </row>
    <row r="164" spans="1:15" x14ac:dyDescent="0.3">
      <c r="A164" t="s">
        <v>177</v>
      </c>
      <c r="B164">
        <v>116</v>
      </c>
      <c r="C164">
        <v>26</v>
      </c>
      <c r="D164" s="1">
        <v>46025.2</v>
      </c>
      <c r="E164">
        <v>99</v>
      </c>
      <c r="F164" t="s">
        <v>15</v>
      </c>
      <c r="G164" t="s">
        <v>10</v>
      </c>
      <c r="H164">
        <v>71</v>
      </c>
      <c r="I164" t="str">
        <f>IFERROR(VLOOKUP(C164,Merchants!$A$2:$D$41,2,FALSE),"Merchant not found")</f>
        <v>Merchant_026</v>
      </c>
      <c r="J164" t="str">
        <f>IFERROR(VLOOKUP(C164,Merchants!$A$2:$D$41,3,FALSE),"Merchant not found")</f>
        <v>food_delivery</v>
      </c>
      <c r="K164" t="str">
        <f>IFERROR(VLOOKUP(C164,Merchants!$A$2:$D$41,4,FALSE), "Merchant Not Fount")</f>
        <v>East</v>
      </c>
      <c r="L164" s="2">
        <f>HLOOKUP(F164,HLOOKUP_Reference!$A$1:$E$2,2,FALSE)</f>
        <v>0.01</v>
      </c>
      <c r="M164">
        <f>SUMIFS(Daily_Merchant_Pivot!$E:$E,Daily_Merchant_Pivot!$A:$A,C164,Daily_Merchant_Pivot!$D:$D,INT(D164))</f>
        <v>99</v>
      </c>
      <c r="N164" t="str">
        <f t="shared" si="4"/>
        <v>Normal Merchant Day</v>
      </c>
      <c r="O164" s="7">
        <f t="shared" si="5"/>
        <v>46025</v>
      </c>
    </row>
    <row r="165" spans="1:15" x14ac:dyDescent="0.3">
      <c r="A165" t="s">
        <v>178</v>
      </c>
      <c r="B165">
        <v>203</v>
      </c>
      <c r="C165">
        <v>1</v>
      </c>
      <c r="D165" s="1">
        <v>46034.118055555555</v>
      </c>
      <c r="E165">
        <v>149</v>
      </c>
      <c r="F165" t="s">
        <v>9</v>
      </c>
      <c r="G165" t="s">
        <v>10</v>
      </c>
      <c r="H165">
        <v>33</v>
      </c>
      <c r="I165" t="str">
        <f>IFERROR(VLOOKUP(C165,Merchants!$A$2:$D$41,2,FALSE),"Merchant not found")</f>
        <v>Merchant_001</v>
      </c>
      <c r="J165" t="str">
        <f>IFERROR(VLOOKUP(C165,Merchants!$A$2:$D$41,3,FALSE),"Merchant not found")</f>
        <v>ecommerce</v>
      </c>
      <c r="K165" t="str">
        <f>IFERROR(VLOOKUP(C165,Merchants!$A$2:$D$41,4,FALSE), "Merchant Not Fount")</f>
        <v>South</v>
      </c>
      <c r="L165" s="2">
        <f>HLOOKUP(F165,HLOOKUP_Reference!$A$1:$E$2,2,FALSE)</f>
        <v>6.4999999999999997E-3</v>
      </c>
      <c r="M165">
        <f>SUMIFS(Daily_Merchant_Pivot!$E:$E,Daily_Merchant_Pivot!$A:$A,C165,Daily_Merchant_Pivot!$D:$D,INT(D165))</f>
        <v>149</v>
      </c>
      <c r="N165" t="str">
        <f t="shared" si="4"/>
        <v>Normal Merchant Day</v>
      </c>
      <c r="O165" s="7">
        <f t="shared" si="5"/>
        <v>46034</v>
      </c>
    </row>
    <row r="166" spans="1:15" x14ac:dyDescent="0.3">
      <c r="A166" t="s">
        <v>179</v>
      </c>
      <c r="B166">
        <v>189</v>
      </c>
      <c r="C166">
        <v>17</v>
      </c>
      <c r="D166" s="1">
        <v>46040.145138888889</v>
      </c>
      <c r="E166">
        <v>99</v>
      </c>
      <c r="F166" t="s">
        <v>12</v>
      </c>
      <c r="G166" t="s">
        <v>10</v>
      </c>
      <c r="H166">
        <v>74</v>
      </c>
      <c r="I166" t="str">
        <f>IFERROR(VLOOKUP(C166,Merchants!$A$2:$D$41,2,FALSE),"Merchant not found")</f>
        <v>Merchant_017</v>
      </c>
      <c r="J166" t="str">
        <f>IFERROR(VLOOKUP(C166,Merchants!$A$2:$D$41,3,FALSE),"Merchant not found")</f>
        <v>grocery</v>
      </c>
      <c r="K166" t="str">
        <f>IFERROR(VLOOKUP(C166,Merchants!$A$2:$D$41,4,FALSE), "Merchant Not Fount")</f>
        <v>North</v>
      </c>
      <c r="L166" s="2">
        <f>HLOOKUP(F166,HLOOKUP_Reference!$A$1:$E$2,2,FALSE)</f>
        <v>2E-3</v>
      </c>
      <c r="M166">
        <f>SUMIFS(Daily_Merchant_Pivot!$E:$E,Daily_Merchant_Pivot!$A:$A,C166,Daily_Merchant_Pivot!$D:$D,INT(D166))</f>
        <v>198</v>
      </c>
      <c r="N166" t="str">
        <f t="shared" si="4"/>
        <v>Normal Merchant Day</v>
      </c>
      <c r="O166" s="7">
        <f t="shared" si="5"/>
        <v>46040</v>
      </c>
    </row>
    <row r="167" spans="1:15" x14ac:dyDescent="0.3">
      <c r="A167" t="s">
        <v>180</v>
      </c>
      <c r="B167">
        <v>56</v>
      </c>
      <c r="C167">
        <v>15</v>
      </c>
      <c r="D167" s="1">
        <v>46035.849305555559</v>
      </c>
      <c r="E167">
        <v>299</v>
      </c>
      <c r="F167" t="s">
        <v>12</v>
      </c>
      <c r="G167" t="s">
        <v>10</v>
      </c>
      <c r="H167">
        <v>60</v>
      </c>
      <c r="I167" t="str">
        <f>IFERROR(VLOOKUP(C167,Merchants!$A$2:$D$41,2,FALSE),"Merchant not found")</f>
        <v>Merchant_015</v>
      </c>
      <c r="J167" t="str">
        <f>IFERROR(VLOOKUP(C167,Merchants!$A$2:$D$41,3,FALSE),"Merchant not found")</f>
        <v>travel</v>
      </c>
      <c r="K167" t="str">
        <f>IFERROR(VLOOKUP(C167,Merchants!$A$2:$D$41,4,FALSE), "Merchant Not Fount")</f>
        <v>North</v>
      </c>
      <c r="L167" s="2">
        <f>HLOOKUP(F167,HLOOKUP_Reference!$A$1:$E$2,2,FALSE)</f>
        <v>2E-3</v>
      </c>
      <c r="M167">
        <f>SUMIFS(Daily_Merchant_Pivot!$E:$E,Daily_Merchant_Pivot!$A:$A,C167,Daily_Merchant_Pivot!$D:$D,INT(D167))</f>
        <v>299</v>
      </c>
      <c r="N167" t="str">
        <f t="shared" si="4"/>
        <v>Normal Merchant Day</v>
      </c>
      <c r="O167" s="7">
        <f t="shared" si="5"/>
        <v>46035</v>
      </c>
    </row>
    <row r="168" spans="1:15" x14ac:dyDescent="0.3">
      <c r="A168" t="s">
        <v>181</v>
      </c>
      <c r="B168">
        <v>288</v>
      </c>
      <c r="C168">
        <v>21</v>
      </c>
      <c r="D168" s="1">
        <v>46023.830555555556</v>
      </c>
      <c r="E168">
        <v>4999</v>
      </c>
      <c r="F168" t="s">
        <v>9</v>
      </c>
      <c r="G168" t="s">
        <v>25</v>
      </c>
      <c r="H168">
        <v>78</v>
      </c>
      <c r="I168" t="str">
        <f>IFERROR(VLOOKUP(C168,Merchants!$A$2:$D$41,2,FALSE),"Merchant not found")</f>
        <v>Merchant_021</v>
      </c>
      <c r="J168" t="str">
        <f>IFERROR(VLOOKUP(C168,Merchants!$A$2:$D$41,3,FALSE),"Merchant not found")</f>
        <v>food_delivery</v>
      </c>
      <c r="K168" t="str">
        <f>IFERROR(VLOOKUP(C168,Merchants!$A$2:$D$41,4,FALSE), "Merchant Not Fount")</f>
        <v>East</v>
      </c>
      <c r="L168" s="2">
        <f>HLOOKUP(F168,HLOOKUP_Reference!$A$1:$E$2,2,FALSE)</f>
        <v>6.4999999999999997E-3</v>
      </c>
      <c r="M168">
        <f>SUMIFS(Daily_Merchant_Pivot!$E:$E,Daily_Merchant_Pivot!$A:$A,C168,Daily_Merchant_Pivot!$D:$D,INT(D168))</f>
        <v>5298</v>
      </c>
      <c r="N168" t="str">
        <f t="shared" si="4"/>
        <v>Normal Merchant Day</v>
      </c>
      <c r="O168" s="7">
        <f t="shared" si="5"/>
        <v>46023</v>
      </c>
    </row>
    <row r="169" spans="1:15" x14ac:dyDescent="0.3">
      <c r="A169" t="s">
        <v>182</v>
      </c>
      <c r="B169">
        <v>326</v>
      </c>
      <c r="C169">
        <v>30</v>
      </c>
      <c r="D169" s="1">
        <v>46030.836111111108</v>
      </c>
      <c r="E169">
        <v>99</v>
      </c>
      <c r="F169" t="s">
        <v>24</v>
      </c>
      <c r="G169" t="s">
        <v>10</v>
      </c>
      <c r="H169">
        <v>89</v>
      </c>
      <c r="I169" t="str">
        <f>IFERROR(VLOOKUP(C169,Merchants!$A$2:$D$41,2,FALSE),"Merchant not found")</f>
        <v>Merchant_030</v>
      </c>
      <c r="J169" t="str">
        <f>IFERROR(VLOOKUP(C169,Merchants!$A$2:$D$41,3,FALSE),"Merchant not found")</f>
        <v>travel</v>
      </c>
      <c r="K169" t="str">
        <f>IFERROR(VLOOKUP(C169,Merchants!$A$2:$D$41,4,FALSE), "Merchant Not Fount")</f>
        <v>West</v>
      </c>
      <c r="L169" s="2">
        <f>HLOOKUP(F169,HLOOKUP_Reference!$A$1:$E$2,2,FALSE)</f>
        <v>1.4999999999999999E-2</v>
      </c>
      <c r="M169">
        <f>SUMIFS(Daily_Merchant_Pivot!$E:$E,Daily_Merchant_Pivot!$A:$A,C169,Daily_Merchant_Pivot!$D:$D,INT(D169))</f>
        <v>1197</v>
      </c>
      <c r="N169" t="str">
        <f t="shared" si="4"/>
        <v>Normal Merchant Day</v>
      </c>
      <c r="O169" s="7">
        <f t="shared" si="5"/>
        <v>46030</v>
      </c>
    </row>
    <row r="170" spans="1:15" x14ac:dyDescent="0.3">
      <c r="A170" t="s">
        <v>183</v>
      </c>
      <c r="B170">
        <v>60</v>
      </c>
      <c r="C170">
        <v>9</v>
      </c>
      <c r="D170" s="1">
        <v>46032.851388888892</v>
      </c>
      <c r="E170">
        <v>49</v>
      </c>
      <c r="F170" t="s">
        <v>15</v>
      </c>
      <c r="G170" t="s">
        <v>10</v>
      </c>
      <c r="H170">
        <v>5</v>
      </c>
      <c r="I170" t="str">
        <f>IFERROR(VLOOKUP(C170,Merchants!$A$2:$D$41,2,FALSE),"Merchant not found")</f>
        <v>Merchant_009</v>
      </c>
      <c r="J170" t="str">
        <f>IFERROR(VLOOKUP(C170,Merchants!$A$2:$D$41,3,FALSE),"Merchant not found")</f>
        <v>ecommerce</v>
      </c>
      <c r="K170" t="str">
        <f>IFERROR(VLOOKUP(C170,Merchants!$A$2:$D$41,4,FALSE), "Merchant Not Fount")</f>
        <v>North</v>
      </c>
      <c r="L170" s="2">
        <f>HLOOKUP(F170,HLOOKUP_Reference!$A$1:$E$2,2,FALSE)</f>
        <v>0.01</v>
      </c>
      <c r="M170">
        <f>SUMIFS(Daily_Merchant_Pivot!$E:$E,Daily_Merchant_Pivot!$A:$A,C170,Daily_Merchant_Pivot!$D:$D,INT(D170))</f>
        <v>49</v>
      </c>
      <c r="N170" t="str">
        <f t="shared" si="4"/>
        <v>Normal Merchant Day</v>
      </c>
      <c r="O170" s="7">
        <f t="shared" si="5"/>
        <v>46032</v>
      </c>
    </row>
    <row r="171" spans="1:15" x14ac:dyDescent="0.3">
      <c r="A171" t="s">
        <v>184</v>
      </c>
      <c r="B171">
        <v>60</v>
      </c>
      <c r="C171">
        <v>7</v>
      </c>
      <c r="D171" s="1">
        <v>46024.396527777775</v>
      </c>
      <c r="E171">
        <v>2999</v>
      </c>
      <c r="F171" t="s">
        <v>9</v>
      </c>
      <c r="G171" t="s">
        <v>10</v>
      </c>
      <c r="H171">
        <v>30</v>
      </c>
      <c r="I171" t="str">
        <f>IFERROR(VLOOKUP(C171,Merchants!$A$2:$D$41,2,FALSE),"Merchant not found")</f>
        <v>Merchant_007</v>
      </c>
      <c r="J171" t="str">
        <f>IFERROR(VLOOKUP(C171,Merchants!$A$2:$D$41,3,FALSE),"Merchant not found")</f>
        <v>food_delivery</v>
      </c>
      <c r="K171" t="str">
        <f>IFERROR(VLOOKUP(C171,Merchants!$A$2:$D$41,4,FALSE), "Merchant Not Fount")</f>
        <v>East</v>
      </c>
      <c r="L171" s="2">
        <f>HLOOKUP(F171,HLOOKUP_Reference!$A$1:$E$2,2,FALSE)</f>
        <v>6.4999999999999997E-3</v>
      </c>
      <c r="M171">
        <f>SUMIFS(Daily_Merchant_Pivot!$E:$E,Daily_Merchant_Pivot!$A:$A,C171,Daily_Merchant_Pivot!$D:$D,INT(D171))</f>
        <v>3797</v>
      </c>
      <c r="N171" t="str">
        <f t="shared" si="4"/>
        <v>Normal Merchant Day</v>
      </c>
      <c r="O171" s="7">
        <f t="shared" si="5"/>
        <v>46024</v>
      </c>
    </row>
    <row r="172" spans="1:15" x14ac:dyDescent="0.3">
      <c r="A172" t="s">
        <v>185</v>
      </c>
      <c r="B172">
        <v>199</v>
      </c>
      <c r="C172">
        <v>30</v>
      </c>
      <c r="D172" s="1">
        <v>46051.713888888888</v>
      </c>
      <c r="E172">
        <v>149</v>
      </c>
      <c r="F172" t="s">
        <v>15</v>
      </c>
      <c r="G172" t="s">
        <v>10</v>
      </c>
      <c r="H172">
        <v>47</v>
      </c>
      <c r="I172" t="str">
        <f>IFERROR(VLOOKUP(C172,Merchants!$A$2:$D$41,2,FALSE),"Merchant not found")</f>
        <v>Merchant_030</v>
      </c>
      <c r="J172" t="str">
        <f>IFERROR(VLOOKUP(C172,Merchants!$A$2:$D$41,3,FALSE),"Merchant not found")</f>
        <v>travel</v>
      </c>
      <c r="K172" t="str">
        <f>IFERROR(VLOOKUP(C172,Merchants!$A$2:$D$41,4,FALSE), "Merchant Not Fount")</f>
        <v>West</v>
      </c>
      <c r="L172" s="2">
        <f>HLOOKUP(F172,HLOOKUP_Reference!$A$1:$E$2,2,FALSE)</f>
        <v>0.01</v>
      </c>
      <c r="M172">
        <f>SUMIFS(Daily_Merchant_Pivot!$E:$E,Daily_Merchant_Pivot!$A:$A,C172,Daily_Merchant_Pivot!$D:$D,INT(D172))</f>
        <v>149</v>
      </c>
      <c r="N172" t="str">
        <f t="shared" si="4"/>
        <v>Normal Merchant Day</v>
      </c>
      <c r="O172" s="7">
        <f t="shared" si="5"/>
        <v>46051</v>
      </c>
    </row>
    <row r="173" spans="1:15" x14ac:dyDescent="0.3">
      <c r="A173" t="s">
        <v>186</v>
      </c>
      <c r="B173">
        <v>277</v>
      </c>
      <c r="C173">
        <v>27</v>
      </c>
      <c r="D173" s="1">
        <v>46044.988888888889</v>
      </c>
      <c r="E173">
        <v>49</v>
      </c>
      <c r="F173" t="s">
        <v>12</v>
      </c>
      <c r="G173" t="s">
        <v>10</v>
      </c>
      <c r="H173">
        <v>75</v>
      </c>
      <c r="I173" t="str">
        <f>IFERROR(VLOOKUP(C173,Merchants!$A$2:$D$41,2,FALSE),"Merchant not found")</f>
        <v>Merchant_027</v>
      </c>
      <c r="J173" t="str">
        <f>IFERROR(VLOOKUP(C173,Merchants!$A$2:$D$41,3,FALSE),"Merchant not found")</f>
        <v>ecommerce</v>
      </c>
      <c r="K173" t="str">
        <f>IFERROR(VLOOKUP(C173,Merchants!$A$2:$D$41,4,FALSE), "Merchant Not Fount")</f>
        <v>North</v>
      </c>
      <c r="L173" s="2">
        <f>HLOOKUP(F173,HLOOKUP_Reference!$A$1:$E$2,2,FALSE)</f>
        <v>2E-3</v>
      </c>
      <c r="M173">
        <f>SUMIFS(Daily_Merchant_Pivot!$E:$E,Daily_Merchant_Pivot!$A:$A,C173,Daily_Merchant_Pivot!$D:$D,INT(D173))</f>
        <v>49</v>
      </c>
      <c r="N173" t="str">
        <f t="shared" si="4"/>
        <v>Normal Merchant Day</v>
      </c>
      <c r="O173" s="7">
        <f t="shared" si="5"/>
        <v>46044</v>
      </c>
    </row>
    <row r="174" spans="1:15" x14ac:dyDescent="0.3">
      <c r="A174" t="s">
        <v>187</v>
      </c>
      <c r="B174">
        <v>213</v>
      </c>
      <c r="C174">
        <v>7</v>
      </c>
      <c r="D174" s="1">
        <v>46046.964583333334</v>
      </c>
      <c r="E174">
        <v>799</v>
      </c>
      <c r="F174" t="s">
        <v>15</v>
      </c>
      <c r="G174" t="s">
        <v>10</v>
      </c>
      <c r="H174">
        <v>62</v>
      </c>
      <c r="I174" t="str">
        <f>IFERROR(VLOOKUP(C174,Merchants!$A$2:$D$41,2,FALSE),"Merchant not found")</f>
        <v>Merchant_007</v>
      </c>
      <c r="J174" t="str">
        <f>IFERROR(VLOOKUP(C174,Merchants!$A$2:$D$41,3,FALSE),"Merchant not found")</f>
        <v>food_delivery</v>
      </c>
      <c r="K174" t="str">
        <f>IFERROR(VLOOKUP(C174,Merchants!$A$2:$D$41,4,FALSE), "Merchant Not Fount")</f>
        <v>East</v>
      </c>
      <c r="L174" s="2">
        <f>HLOOKUP(F174,HLOOKUP_Reference!$A$1:$E$2,2,FALSE)</f>
        <v>0.01</v>
      </c>
      <c r="M174">
        <f>SUMIFS(Daily_Merchant_Pivot!$E:$E,Daily_Merchant_Pivot!$A:$A,C174,Daily_Merchant_Pivot!$D:$D,INT(D174))</f>
        <v>1298</v>
      </c>
      <c r="N174" t="str">
        <f t="shared" si="4"/>
        <v>Normal Merchant Day</v>
      </c>
      <c r="O174" s="7">
        <f t="shared" si="5"/>
        <v>46046</v>
      </c>
    </row>
    <row r="175" spans="1:15" x14ac:dyDescent="0.3">
      <c r="A175" t="s">
        <v>188</v>
      </c>
      <c r="B175">
        <v>17</v>
      </c>
      <c r="C175">
        <v>24</v>
      </c>
      <c r="D175" s="1">
        <v>46042.553472222222</v>
      </c>
      <c r="E175">
        <v>299</v>
      </c>
      <c r="F175" t="s">
        <v>12</v>
      </c>
      <c r="G175" t="s">
        <v>10</v>
      </c>
      <c r="H175">
        <v>27</v>
      </c>
      <c r="I175" t="str">
        <f>IFERROR(VLOOKUP(C175,Merchants!$A$2:$D$41,2,FALSE),"Merchant not found")</f>
        <v>Merchant_024</v>
      </c>
      <c r="J175" t="str">
        <f>IFERROR(VLOOKUP(C175,Merchants!$A$2:$D$41,3,FALSE),"Merchant not found")</f>
        <v>grocery</v>
      </c>
      <c r="K175" t="str">
        <f>IFERROR(VLOOKUP(C175,Merchants!$A$2:$D$41,4,FALSE), "Merchant Not Fount")</f>
        <v>North</v>
      </c>
      <c r="L175" s="2">
        <f>HLOOKUP(F175,HLOOKUP_Reference!$A$1:$E$2,2,FALSE)</f>
        <v>2E-3</v>
      </c>
      <c r="M175">
        <f>SUMIFS(Daily_Merchant_Pivot!$E:$E,Daily_Merchant_Pivot!$A:$A,C175,Daily_Merchant_Pivot!$D:$D,INT(D175))</f>
        <v>299</v>
      </c>
      <c r="N175" t="str">
        <f t="shared" si="4"/>
        <v>Normal Merchant Day</v>
      </c>
      <c r="O175" s="7">
        <f t="shared" si="5"/>
        <v>46042</v>
      </c>
    </row>
    <row r="176" spans="1:15" x14ac:dyDescent="0.3">
      <c r="A176" t="s">
        <v>189</v>
      </c>
      <c r="B176">
        <v>186</v>
      </c>
      <c r="C176">
        <v>7</v>
      </c>
      <c r="D176" s="1">
        <v>46037.59375</v>
      </c>
      <c r="E176">
        <v>1499</v>
      </c>
      <c r="F176" t="s">
        <v>24</v>
      </c>
      <c r="G176" t="s">
        <v>25</v>
      </c>
      <c r="H176">
        <v>87</v>
      </c>
      <c r="I176" t="str">
        <f>IFERROR(VLOOKUP(C176,Merchants!$A$2:$D$41,2,FALSE),"Merchant not found")</f>
        <v>Merchant_007</v>
      </c>
      <c r="J176" t="str">
        <f>IFERROR(VLOOKUP(C176,Merchants!$A$2:$D$41,3,FALSE),"Merchant not found")</f>
        <v>food_delivery</v>
      </c>
      <c r="K176" t="str">
        <f>IFERROR(VLOOKUP(C176,Merchants!$A$2:$D$41,4,FALSE), "Merchant Not Fount")</f>
        <v>East</v>
      </c>
      <c r="L176" s="2">
        <f>HLOOKUP(F176,HLOOKUP_Reference!$A$1:$E$2,2,FALSE)</f>
        <v>1.4999999999999999E-2</v>
      </c>
      <c r="M176">
        <f>SUMIFS(Daily_Merchant_Pivot!$E:$E,Daily_Merchant_Pivot!$A:$A,C176,Daily_Merchant_Pivot!$D:$D,INT(D176))</f>
        <v>1648</v>
      </c>
      <c r="N176" t="str">
        <f t="shared" si="4"/>
        <v>Normal Merchant Day</v>
      </c>
      <c r="O176" s="7">
        <f t="shared" si="5"/>
        <v>46037</v>
      </c>
    </row>
    <row r="177" spans="1:15" x14ac:dyDescent="0.3">
      <c r="A177" t="s">
        <v>190</v>
      </c>
      <c r="B177">
        <v>331</v>
      </c>
      <c r="C177">
        <v>23</v>
      </c>
      <c r="D177" s="1">
        <v>46034.747916666667</v>
      </c>
      <c r="E177">
        <v>149</v>
      </c>
      <c r="F177" t="s">
        <v>12</v>
      </c>
      <c r="G177" t="s">
        <v>10</v>
      </c>
      <c r="H177">
        <v>7</v>
      </c>
      <c r="I177" t="str">
        <f>IFERROR(VLOOKUP(C177,Merchants!$A$2:$D$41,2,FALSE),"Merchant not found")</f>
        <v>Merchant_023</v>
      </c>
      <c r="J177" t="str">
        <f>IFERROR(VLOOKUP(C177,Merchants!$A$2:$D$41,3,FALSE),"Merchant not found")</f>
        <v>travel</v>
      </c>
      <c r="K177" t="str">
        <f>IFERROR(VLOOKUP(C177,Merchants!$A$2:$D$41,4,FALSE), "Merchant Not Fount")</f>
        <v>North</v>
      </c>
      <c r="L177" s="2">
        <f>HLOOKUP(F177,HLOOKUP_Reference!$A$1:$E$2,2,FALSE)</f>
        <v>2E-3</v>
      </c>
      <c r="M177">
        <f>SUMIFS(Daily_Merchant_Pivot!$E:$E,Daily_Merchant_Pivot!$A:$A,C177,Daily_Merchant_Pivot!$D:$D,INT(D177))</f>
        <v>149</v>
      </c>
      <c r="N177" t="str">
        <f t="shared" si="4"/>
        <v>Normal Merchant Day</v>
      </c>
      <c r="O177" s="7">
        <f t="shared" si="5"/>
        <v>46034</v>
      </c>
    </row>
    <row r="178" spans="1:15" x14ac:dyDescent="0.3">
      <c r="A178" t="s">
        <v>191</v>
      </c>
      <c r="B178">
        <v>63</v>
      </c>
      <c r="C178">
        <v>30</v>
      </c>
      <c r="D178" s="1">
        <v>46035.341666666667</v>
      </c>
      <c r="E178">
        <v>1499</v>
      </c>
      <c r="F178" t="s">
        <v>24</v>
      </c>
      <c r="G178" t="s">
        <v>10</v>
      </c>
      <c r="H178">
        <v>11</v>
      </c>
      <c r="I178" t="str">
        <f>IFERROR(VLOOKUP(C178,Merchants!$A$2:$D$41,2,FALSE),"Merchant not found")</f>
        <v>Merchant_030</v>
      </c>
      <c r="J178" t="str">
        <f>IFERROR(VLOOKUP(C178,Merchants!$A$2:$D$41,3,FALSE),"Merchant not found")</f>
        <v>travel</v>
      </c>
      <c r="K178" t="str">
        <f>IFERROR(VLOOKUP(C178,Merchants!$A$2:$D$41,4,FALSE), "Merchant Not Fount")</f>
        <v>West</v>
      </c>
      <c r="L178" s="2">
        <f>HLOOKUP(F178,HLOOKUP_Reference!$A$1:$E$2,2,FALSE)</f>
        <v>1.4999999999999999E-2</v>
      </c>
      <c r="M178">
        <f>SUMIFS(Daily_Merchant_Pivot!$E:$E,Daily_Merchant_Pivot!$A:$A,C178,Daily_Merchant_Pivot!$D:$D,INT(D178))</f>
        <v>1499</v>
      </c>
      <c r="N178" t="str">
        <f t="shared" si="4"/>
        <v>Normal Merchant Day</v>
      </c>
      <c r="O178" s="7">
        <f t="shared" si="5"/>
        <v>46035</v>
      </c>
    </row>
    <row r="179" spans="1:15" x14ac:dyDescent="0.3">
      <c r="A179" t="s">
        <v>192</v>
      </c>
      <c r="B179">
        <v>328</v>
      </c>
      <c r="C179">
        <v>39</v>
      </c>
      <c r="D179" s="1">
        <v>46044.27847222222</v>
      </c>
      <c r="E179">
        <v>4999</v>
      </c>
      <c r="F179" t="s">
        <v>9</v>
      </c>
      <c r="G179" t="s">
        <v>38</v>
      </c>
      <c r="H179">
        <v>2</v>
      </c>
      <c r="I179" t="str">
        <f>IFERROR(VLOOKUP(C179,Merchants!$A$2:$D$41,2,FALSE),"Merchant not found")</f>
        <v>Merchant_039</v>
      </c>
      <c r="J179" t="str">
        <f>IFERROR(VLOOKUP(C179,Merchants!$A$2:$D$41,3,FALSE),"Merchant not found")</f>
        <v>entertainment</v>
      </c>
      <c r="K179" t="str">
        <f>IFERROR(VLOOKUP(C179,Merchants!$A$2:$D$41,4,FALSE), "Merchant Not Fount")</f>
        <v>North</v>
      </c>
      <c r="L179" s="2">
        <f>HLOOKUP(F179,HLOOKUP_Reference!$A$1:$E$2,2,FALSE)</f>
        <v>6.4999999999999997E-3</v>
      </c>
      <c r="M179">
        <f>SUMIFS(Daily_Merchant_Pivot!$E:$E,Daily_Merchant_Pivot!$A:$A,C179,Daily_Merchant_Pivot!$D:$D,INT(D179))</f>
        <v>9796</v>
      </c>
      <c r="N179" t="str">
        <f t="shared" si="4"/>
        <v>High-Value Merchant Day</v>
      </c>
      <c r="O179" s="7">
        <f t="shared" si="5"/>
        <v>46044</v>
      </c>
    </row>
    <row r="180" spans="1:15" x14ac:dyDescent="0.3">
      <c r="A180" t="s">
        <v>193</v>
      </c>
      <c r="B180">
        <v>65</v>
      </c>
      <c r="C180">
        <v>37</v>
      </c>
      <c r="D180" s="1">
        <v>46024.427083333336</v>
      </c>
      <c r="E180">
        <v>2999</v>
      </c>
      <c r="F180" t="s">
        <v>24</v>
      </c>
      <c r="G180" t="s">
        <v>10</v>
      </c>
      <c r="H180">
        <v>26</v>
      </c>
      <c r="I180" t="str">
        <f>IFERROR(VLOOKUP(C180,Merchants!$A$2:$D$41,2,FALSE),"Merchant not found")</f>
        <v>Merchant_037</v>
      </c>
      <c r="J180" t="str">
        <f>IFERROR(VLOOKUP(C180,Merchants!$A$2:$D$41,3,FALSE),"Merchant not found")</f>
        <v>entertainment</v>
      </c>
      <c r="K180" t="str">
        <f>IFERROR(VLOOKUP(C180,Merchants!$A$2:$D$41,4,FALSE), "Merchant Not Fount")</f>
        <v>South</v>
      </c>
      <c r="L180" s="2">
        <f>HLOOKUP(F180,HLOOKUP_Reference!$A$1:$E$2,2,FALSE)</f>
        <v>1.4999999999999999E-2</v>
      </c>
      <c r="M180">
        <f>SUMIFS(Daily_Merchant_Pivot!$E:$E,Daily_Merchant_Pivot!$A:$A,C180,Daily_Merchant_Pivot!$D:$D,INT(D180))</f>
        <v>2999</v>
      </c>
      <c r="N180" t="str">
        <f t="shared" si="4"/>
        <v>Normal Merchant Day</v>
      </c>
      <c r="O180" s="7">
        <f t="shared" si="5"/>
        <v>46024</v>
      </c>
    </row>
    <row r="181" spans="1:15" x14ac:dyDescent="0.3">
      <c r="A181" t="s">
        <v>194</v>
      </c>
      <c r="B181">
        <v>301</v>
      </c>
      <c r="C181">
        <v>14</v>
      </c>
      <c r="D181" s="1">
        <v>46025.717361111114</v>
      </c>
      <c r="E181">
        <v>149</v>
      </c>
      <c r="F181" t="s">
        <v>12</v>
      </c>
      <c r="G181" t="s">
        <v>10</v>
      </c>
      <c r="H181">
        <v>29</v>
      </c>
      <c r="I181" t="str">
        <f>IFERROR(VLOOKUP(C181,Merchants!$A$2:$D$41,2,FALSE),"Merchant not found")</f>
        <v>Merchant_014</v>
      </c>
      <c r="J181" t="str">
        <f>IFERROR(VLOOKUP(C181,Merchants!$A$2:$D$41,3,FALSE),"Merchant not found")</f>
        <v>grocery</v>
      </c>
      <c r="K181" t="str">
        <f>IFERROR(VLOOKUP(C181,Merchants!$A$2:$D$41,4,FALSE), "Merchant Not Fount")</f>
        <v>East</v>
      </c>
      <c r="L181" s="2">
        <f>HLOOKUP(F181,HLOOKUP_Reference!$A$1:$E$2,2,FALSE)</f>
        <v>2E-3</v>
      </c>
      <c r="M181">
        <f>SUMIFS(Daily_Merchant_Pivot!$E:$E,Daily_Merchant_Pivot!$A:$A,C181,Daily_Merchant_Pivot!$D:$D,INT(D181))</f>
        <v>149</v>
      </c>
      <c r="N181" t="str">
        <f t="shared" si="4"/>
        <v>Normal Merchant Day</v>
      </c>
      <c r="O181" s="7">
        <f t="shared" si="5"/>
        <v>46025</v>
      </c>
    </row>
    <row r="182" spans="1:15" x14ac:dyDescent="0.3">
      <c r="A182" t="s">
        <v>195</v>
      </c>
      <c r="B182">
        <v>306</v>
      </c>
      <c r="C182">
        <v>1</v>
      </c>
      <c r="D182" s="1">
        <v>46033.201388888891</v>
      </c>
      <c r="E182">
        <v>299</v>
      </c>
      <c r="F182" t="s">
        <v>12</v>
      </c>
      <c r="G182" t="s">
        <v>25</v>
      </c>
      <c r="H182">
        <v>35</v>
      </c>
      <c r="I182" t="str">
        <f>IFERROR(VLOOKUP(C182,Merchants!$A$2:$D$41,2,FALSE),"Merchant not found")</f>
        <v>Merchant_001</v>
      </c>
      <c r="J182" t="str">
        <f>IFERROR(VLOOKUP(C182,Merchants!$A$2:$D$41,3,FALSE),"Merchant not found")</f>
        <v>ecommerce</v>
      </c>
      <c r="K182" t="str">
        <f>IFERROR(VLOOKUP(C182,Merchants!$A$2:$D$41,4,FALSE), "Merchant Not Fount")</f>
        <v>South</v>
      </c>
      <c r="L182" s="2">
        <f>HLOOKUP(F182,HLOOKUP_Reference!$A$1:$E$2,2,FALSE)</f>
        <v>2E-3</v>
      </c>
      <c r="M182">
        <f>SUMIFS(Daily_Merchant_Pivot!$E:$E,Daily_Merchant_Pivot!$A:$A,C182,Daily_Merchant_Pivot!$D:$D,INT(D182))</f>
        <v>299</v>
      </c>
      <c r="N182" t="str">
        <f t="shared" si="4"/>
        <v>Normal Merchant Day</v>
      </c>
      <c r="O182" s="7">
        <f t="shared" si="5"/>
        <v>46033</v>
      </c>
    </row>
    <row r="183" spans="1:15" x14ac:dyDescent="0.3">
      <c r="A183" t="s">
        <v>196</v>
      </c>
      <c r="B183">
        <v>277</v>
      </c>
      <c r="C183">
        <v>17</v>
      </c>
      <c r="D183" s="1">
        <v>46050.172222222223</v>
      </c>
      <c r="E183">
        <v>299</v>
      </c>
      <c r="F183" t="s">
        <v>12</v>
      </c>
      <c r="G183" t="s">
        <v>10</v>
      </c>
      <c r="H183">
        <v>22</v>
      </c>
      <c r="I183" t="str">
        <f>IFERROR(VLOOKUP(C183,Merchants!$A$2:$D$41,2,FALSE),"Merchant not found")</f>
        <v>Merchant_017</v>
      </c>
      <c r="J183" t="str">
        <f>IFERROR(VLOOKUP(C183,Merchants!$A$2:$D$41,3,FALSE),"Merchant not found")</f>
        <v>grocery</v>
      </c>
      <c r="K183" t="str">
        <f>IFERROR(VLOOKUP(C183,Merchants!$A$2:$D$41,4,FALSE), "Merchant Not Fount")</f>
        <v>North</v>
      </c>
      <c r="L183" s="2">
        <f>HLOOKUP(F183,HLOOKUP_Reference!$A$1:$E$2,2,FALSE)</f>
        <v>2E-3</v>
      </c>
      <c r="M183">
        <f>SUMIFS(Daily_Merchant_Pivot!$E:$E,Daily_Merchant_Pivot!$A:$A,C183,Daily_Merchant_Pivot!$D:$D,INT(D183))</f>
        <v>299</v>
      </c>
      <c r="N183" t="str">
        <f t="shared" si="4"/>
        <v>Normal Merchant Day</v>
      </c>
      <c r="O183" s="7">
        <f t="shared" si="5"/>
        <v>46050</v>
      </c>
    </row>
    <row r="184" spans="1:15" x14ac:dyDescent="0.3">
      <c r="A184" t="s">
        <v>197</v>
      </c>
      <c r="B184">
        <v>14</v>
      </c>
      <c r="C184">
        <v>9</v>
      </c>
      <c r="D184" s="1">
        <v>46026.913194444445</v>
      </c>
      <c r="E184">
        <v>499</v>
      </c>
      <c r="F184" t="s">
        <v>12</v>
      </c>
      <c r="G184" t="s">
        <v>10</v>
      </c>
      <c r="H184">
        <v>1</v>
      </c>
      <c r="I184" t="str">
        <f>IFERROR(VLOOKUP(C184,Merchants!$A$2:$D$41,2,FALSE),"Merchant not found")</f>
        <v>Merchant_009</v>
      </c>
      <c r="J184" t="str">
        <f>IFERROR(VLOOKUP(C184,Merchants!$A$2:$D$41,3,FALSE),"Merchant not found")</f>
        <v>ecommerce</v>
      </c>
      <c r="K184" t="str">
        <f>IFERROR(VLOOKUP(C184,Merchants!$A$2:$D$41,4,FALSE), "Merchant Not Fount")</f>
        <v>North</v>
      </c>
      <c r="L184" s="2">
        <f>HLOOKUP(F184,HLOOKUP_Reference!$A$1:$E$2,2,FALSE)</f>
        <v>2E-3</v>
      </c>
      <c r="M184">
        <f>SUMIFS(Daily_Merchant_Pivot!$E:$E,Daily_Merchant_Pivot!$A:$A,C184,Daily_Merchant_Pivot!$D:$D,INT(D184))</f>
        <v>499</v>
      </c>
      <c r="N184" t="str">
        <f t="shared" si="4"/>
        <v>Normal Merchant Day</v>
      </c>
      <c r="O184" s="7">
        <f t="shared" si="5"/>
        <v>46026</v>
      </c>
    </row>
    <row r="185" spans="1:15" x14ac:dyDescent="0.3">
      <c r="A185" t="s">
        <v>198</v>
      </c>
      <c r="B185">
        <v>166</v>
      </c>
      <c r="C185">
        <v>2</v>
      </c>
      <c r="D185" s="1">
        <v>46034.317361111112</v>
      </c>
      <c r="E185">
        <v>299</v>
      </c>
      <c r="F185" t="s">
        <v>24</v>
      </c>
      <c r="G185" t="s">
        <v>10</v>
      </c>
      <c r="H185">
        <v>22</v>
      </c>
      <c r="I185" t="str">
        <f>IFERROR(VLOOKUP(C185,Merchants!$A$2:$D$41,2,FALSE),"Merchant not found")</f>
        <v>Merchant_002</v>
      </c>
      <c r="J185" t="str">
        <f>IFERROR(VLOOKUP(C185,Merchants!$A$2:$D$41,3,FALSE),"Merchant not found")</f>
        <v>grocery</v>
      </c>
      <c r="K185" t="str">
        <f>IFERROR(VLOOKUP(C185,Merchants!$A$2:$D$41,4,FALSE), "Merchant Not Fount")</f>
        <v>West</v>
      </c>
      <c r="L185" s="2">
        <f>HLOOKUP(F185,HLOOKUP_Reference!$A$1:$E$2,2,FALSE)</f>
        <v>1.4999999999999999E-2</v>
      </c>
      <c r="M185">
        <f>SUMIFS(Daily_Merchant_Pivot!$E:$E,Daily_Merchant_Pivot!$A:$A,C185,Daily_Merchant_Pivot!$D:$D,INT(D185))</f>
        <v>348</v>
      </c>
      <c r="N185" t="str">
        <f t="shared" si="4"/>
        <v>Normal Merchant Day</v>
      </c>
      <c r="O185" s="7">
        <f t="shared" si="5"/>
        <v>46034</v>
      </c>
    </row>
    <row r="186" spans="1:15" x14ac:dyDescent="0.3">
      <c r="A186" t="s">
        <v>199</v>
      </c>
      <c r="B186">
        <v>216</v>
      </c>
      <c r="C186">
        <v>34</v>
      </c>
      <c r="D186" s="1">
        <v>46031.047222222223</v>
      </c>
      <c r="E186">
        <v>299</v>
      </c>
      <c r="F186" t="s">
        <v>24</v>
      </c>
      <c r="G186" t="s">
        <v>10</v>
      </c>
      <c r="H186">
        <v>14</v>
      </c>
      <c r="I186" t="str">
        <f>IFERROR(VLOOKUP(C186,Merchants!$A$2:$D$41,2,FALSE),"Merchant not found")</f>
        <v>Merchant_034</v>
      </c>
      <c r="J186" t="str">
        <f>IFERROR(VLOOKUP(C186,Merchants!$A$2:$D$41,3,FALSE),"Merchant not found")</f>
        <v>travel</v>
      </c>
      <c r="K186" t="str">
        <f>IFERROR(VLOOKUP(C186,Merchants!$A$2:$D$41,4,FALSE), "Merchant Not Fount")</f>
        <v>South</v>
      </c>
      <c r="L186" s="2">
        <f>HLOOKUP(F186,HLOOKUP_Reference!$A$1:$E$2,2,FALSE)</f>
        <v>1.4999999999999999E-2</v>
      </c>
      <c r="M186">
        <f>SUMIFS(Daily_Merchant_Pivot!$E:$E,Daily_Merchant_Pivot!$A:$A,C186,Daily_Merchant_Pivot!$D:$D,INT(D186))</f>
        <v>299</v>
      </c>
      <c r="N186" t="str">
        <f t="shared" si="4"/>
        <v>Normal Merchant Day</v>
      </c>
      <c r="O186" s="7">
        <f t="shared" si="5"/>
        <v>46031</v>
      </c>
    </row>
    <row r="187" spans="1:15" x14ac:dyDescent="0.3">
      <c r="A187" t="s">
        <v>200</v>
      </c>
      <c r="B187">
        <v>230</v>
      </c>
      <c r="C187">
        <v>24</v>
      </c>
      <c r="D187" s="1">
        <v>46046.104166666664</v>
      </c>
      <c r="E187">
        <v>49</v>
      </c>
      <c r="F187" t="s">
        <v>12</v>
      </c>
      <c r="G187" t="s">
        <v>10</v>
      </c>
      <c r="H187">
        <v>65</v>
      </c>
      <c r="I187" t="str">
        <f>IFERROR(VLOOKUP(C187,Merchants!$A$2:$D$41,2,FALSE),"Merchant not found")</f>
        <v>Merchant_024</v>
      </c>
      <c r="J187" t="str">
        <f>IFERROR(VLOOKUP(C187,Merchants!$A$2:$D$41,3,FALSE),"Merchant not found")</f>
        <v>grocery</v>
      </c>
      <c r="K187" t="str">
        <f>IFERROR(VLOOKUP(C187,Merchants!$A$2:$D$41,4,FALSE), "Merchant Not Fount")</f>
        <v>North</v>
      </c>
      <c r="L187" s="2">
        <f>HLOOKUP(F187,HLOOKUP_Reference!$A$1:$E$2,2,FALSE)</f>
        <v>2E-3</v>
      </c>
      <c r="M187">
        <f>SUMIFS(Daily_Merchant_Pivot!$E:$E,Daily_Merchant_Pivot!$A:$A,C187,Daily_Merchant_Pivot!$D:$D,INT(D187))</f>
        <v>148</v>
      </c>
      <c r="N187" t="str">
        <f t="shared" si="4"/>
        <v>Normal Merchant Day</v>
      </c>
      <c r="O187" s="7">
        <f t="shared" si="5"/>
        <v>46046</v>
      </c>
    </row>
    <row r="188" spans="1:15" x14ac:dyDescent="0.3">
      <c r="A188" t="s">
        <v>201</v>
      </c>
      <c r="B188">
        <v>258</v>
      </c>
      <c r="C188">
        <v>15</v>
      </c>
      <c r="D188" s="1">
        <v>46041.144444444442</v>
      </c>
      <c r="E188">
        <v>499</v>
      </c>
      <c r="F188" t="s">
        <v>9</v>
      </c>
      <c r="G188" t="s">
        <v>10</v>
      </c>
      <c r="H188">
        <v>78</v>
      </c>
      <c r="I188" t="str">
        <f>IFERROR(VLOOKUP(C188,Merchants!$A$2:$D$41,2,FALSE),"Merchant not found")</f>
        <v>Merchant_015</v>
      </c>
      <c r="J188" t="str">
        <f>IFERROR(VLOOKUP(C188,Merchants!$A$2:$D$41,3,FALSE),"Merchant not found")</f>
        <v>travel</v>
      </c>
      <c r="K188" t="str">
        <f>IFERROR(VLOOKUP(C188,Merchants!$A$2:$D$41,4,FALSE), "Merchant Not Fount")</f>
        <v>North</v>
      </c>
      <c r="L188" s="2">
        <f>HLOOKUP(F188,HLOOKUP_Reference!$A$1:$E$2,2,FALSE)</f>
        <v>6.4999999999999997E-3</v>
      </c>
      <c r="M188">
        <f>SUMIFS(Daily_Merchant_Pivot!$E:$E,Daily_Merchant_Pivot!$A:$A,C188,Daily_Merchant_Pivot!$D:$D,INT(D188))</f>
        <v>499</v>
      </c>
      <c r="N188" t="str">
        <f t="shared" si="4"/>
        <v>Normal Merchant Day</v>
      </c>
      <c r="O188" s="7">
        <f t="shared" si="5"/>
        <v>46041</v>
      </c>
    </row>
    <row r="189" spans="1:15" x14ac:dyDescent="0.3">
      <c r="A189" t="s">
        <v>202</v>
      </c>
      <c r="B189">
        <v>338</v>
      </c>
      <c r="C189">
        <v>34</v>
      </c>
      <c r="D189" s="1">
        <v>46024.993055555555</v>
      </c>
      <c r="E189">
        <v>49</v>
      </c>
      <c r="F189" t="s">
        <v>12</v>
      </c>
      <c r="G189" t="s">
        <v>10</v>
      </c>
      <c r="H189">
        <v>38</v>
      </c>
      <c r="I189" t="str">
        <f>IFERROR(VLOOKUP(C189,Merchants!$A$2:$D$41,2,FALSE),"Merchant not found")</f>
        <v>Merchant_034</v>
      </c>
      <c r="J189" t="str">
        <f>IFERROR(VLOOKUP(C189,Merchants!$A$2:$D$41,3,FALSE),"Merchant not found")</f>
        <v>travel</v>
      </c>
      <c r="K189" t="str">
        <f>IFERROR(VLOOKUP(C189,Merchants!$A$2:$D$41,4,FALSE), "Merchant Not Fount")</f>
        <v>South</v>
      </c>
      <c r="L189" s="2">
        <f>HLOOKUP(F189,HLOOKUP_Reference!$A$1:$E$2,2,FALSE)</f>
        <v>2E-3</v>
      </c>
      <c r="M189">
        <f>SUMIFS(Daily_Merchant_Pivot!$E:$E,Daily_Merchant_Pivot!$A:$A,C189,Daily_Merchant_Pivot!$D:$D,INT(D189))</f>
        <v>548</v>
      </c>
      <c r="N189" t="str">
        <f t="shared" si="4"/>
        <v>Normal Merchant Day</v>
      </c>
      <c r="O189" s="7">
        <f t="shared" si="5"/>
        <v>46024</v>
      </c>
    </row>
    <row r="190" spans="1:15" x14ac:dyDescent="0.3">
      <c r="A190" t="s">
        <v>203</v>
      </c>
      <c r="B190">
        <v>32</v>
      </c>
      <c r="C190">
        <v>31</v>
      </c>
      <c r="D190" s="1">
        <v>46037.834027777775</v>
      </c>
      <c r="E190">
        <v>299</v>
      </c>
      <c r="F190" t="s">
        <v>12</v>
      </c>
      <c r="G190" t="s">
        <v>10</v>
      </c>
      <c r="H190">
        <v>51</v>
      </c>
      <c r="I190" t="str">
        <f>IFERROR(VLOOKUP(C190,Merchants!$A$2:$D$41,2,FALSE),"Merchant not found")</f>
        <v>Merchant_031</v>
      </c>
      <c r="J190" t="str">
        <f>IFERROR(VLOOKUP(C190,Merchants!$A$2:$D$41,3,FALSE),"Merchant not found")</f>
        <v>bill_payment</v>
      </c>
      <c r="K190" t="str">
        <f>IFERROR(VLOOKUP(C190,Merchants!$A$2:$D$41,4,FALSE), "Merchant Not Fount")</f>
        <v>East</v>
      </c>
      <c r="L190" s="2">
        <f>HLOOKUP(F190,HLOOKUP_Reference!$A$1:$E$2,2,FALSE)</f>
        <v>2E-3</v>
      </c>
      <c r="M190">
        <f>SUMIFS(Daily_Merchant_Pivot!$E:$E,Daily_Merchant_Pivot!$A:$A,C190,Daily_Merchant_Pivot!$D:$D,INT(D190))</f>
        <v>299</v>
      </c>
      <c r="N190" t="str">
        <f t="shared" si="4"/>
        <v>Normal Merchant Day</v>
      </c>
      <c r="O190" s="7">
        <f t="shared" si="5"/>
        <v>46037</v>
      </c>
    </row>
    <row r="191" spans="1:15" x14ac:dyDescent="0.3">
      <c r="A191" t="s">
        <v>204</v>
      </c>
      <c r="B191">
        <v>252</v>
      </c>
      <c r="C191">
        <v>29</v>
      </c>
      <c r="D191" s="1">
        <v>46036.879166666666</v>
      </c>
      <c r="E191">
        <v>1499</v>
      </c>
      <c r="F191" t="s">
        <v>12</v>
      </c>
      <c r="G191" t="s">
        <v>10</v>
      </c>
      <c r="H191">
        <v>9</v>
      </c>
      <c r="I191" t="str">
        <f>IFERROR(VLOOKUP(C191,Merchants!$A$2:$D$41,2,FALSE),"Merchant not found")</f>
        <v>Merchant_029</v>
      </c>
      <c r="J191" t="str">
        <f>IFERROR(VLOOKUP(C191,Merchants!$A$2:$D$41,3,FALSE),"Merchant not found")</f>
        <v>ecommerce</v>
      </c>
      <c r="K191" t="str">
        <f>IFERROR(VLOOKUP(C191,Merchants!$A$2:$D$41,4,FALSE), "Merchant Not Fount")</f>
        <v>North</v>
      </c>
      <c r="L191" s="2">
        <f>HLOOKUP(F191,HLOOKUP_Reference!$A$1:$E$2,2,FALSE)</f>
        <v>2E-3</v>
      </c>
      <c r="M191">
        <f>SUMIFS(Daily_Merchant_Pivot!$E:$E,Daily_Merchant_Pivot!$A:$A,C191,Daily_Merchant_Pivot!$D:$D,INT(D191))</f>
        <v>1998</v>
      </c>
      <c r="N191" t="str">
        <f t="shared" si="4"/>
        <v>Normal Merchant Day</v>
      </c>
      <c r="O191" s="7">
        <f t="shared" si="5"/>
        <v>46036</v>
      </c>
    </row>
    <row r="192" spans="1:15" x14ac:dyDescent="0.3">
      <c r="A192" t="s">
        <v>205</v>
      </c>
      <c r="B192">
        <v>312</v>
      </c>
      <c r="C192">
        <v>10</v>
      </c>
      <c r="D192" s="1">
        <v>46051.097222222219</v>
      </c>
      <c r="E192">
        <v>799</v>
      </c>
      <c r="F192" t="s">
        <v>12</v>
      </c>
      <c r="G192" t="s">
        <v>10</v>
      </c>
      <c r="H192">
        <v>8</v>
      </c>
      <c r="I192" t="str">
        <f>IFERROR(VLOOKUP(C192,Merchants!$A$2:$D$41,2,FALSE),"Merchant not found")</f>
        <v>Merchant_010</v>
      </c>
      <c r="J192" t="str">
        <f>IFERROR(VLOOKUP(C192,Merchants!$A$2:$D$41,3,FALSE),"Merchant not found")</f>
        <v>grocery</v>
      </c>
      <c r="K192" t="str">
        <f>IFERROR(VLOOKUP(C192,Merchants!$A$2:$D$41,4,FALSE), "Merchant Not Fount")</f>
        <v>West</v>
      </c>
      <c r="L192" s="2">
        <f>HLOOKUP(F192,HLOOKUP_Reference!$A$1:$E$2,2,FALSE)</f>
        <v>2E-3</v>
      </c>
      <c r="M192">
        <f>SUMIFS(Daily_Merchant_Pivot!$E:$E,Daily_Merchant_Pivot!$A:$A,C192,Daily_Merchant_Pivot!$D:$D,INT(D192))</f>
        <v>799</v>
      </c>
      <c r="N192" t="str">
        <f t="shared" si="4"/>
        <v>Normal Merchant Day</v>
      </c>
      <c r="O192" s="7">
        <f t="shared" si="5"/>
        <v>46051</v>
      </c>
    </row>
    <row r="193" spans="1:15" x14ac:dyDescent="0.3">
      <c r="A193" t="s">
        <v>206</v>
      </c>
      <c r="B193">
        <v>325</v>
      </c>
      <c r="C193">
        <v>38</v>
      </c>
      <c r="D193" s="1">
        <v>46027.36041666667</v>
      </c>
      <c r="E193">
        <v>1499</v>
      </c>
      <c r="F193" t="s">
        <v>15</v>
      </c>
      <c r="G193" t="s">
        <v>10</v>
      </c>
      <c r="H193">
        <v>70</v>
      </c>
      <c r="I193" t="str">
        <f>IFERROR(VLOOKUP(C193,Merchants!$A$2:$D$41,2,FALSE),"Merchant not found")</f>
        <v>Merchant_038</v>
      </c>
      <c r="J193" t="str">
        <f>IFERROR(VLOOKUP(C193,Merchants!$A$2:$D$41,3,FALSE),"Merchant not found")</f>
        <v>grocery</v>
      </c>
      <c r="K193" t="str">
        <f>IFERROR(VLOOKUP(C193,Merchants!$A$2:$D$41,4,FALSE), "Merchant Not Fount")</f>
        <v>East</v>
      </c>
      <c r="L193" s="2">
        <f>HLOOKUP(F193,HLOOKUP_Reference!$A$1:$E$2,2,FALSE)</f>
        <v>0.01</v>
      </c>
      <c r="M193">
        <f>SUMIFS(Daily_Merchant_Pivot!$E:$E,Daily_Merchant_Pivot!$A:$A,C193,Daily_Merchant_Pivot!$D:$D,INT(D193))</f>
        <v>1499</v>
      </c>
      <c r="N193" t="str">
        <f t="shared" si="4"/>
        <v>Normal Merchant Day</v>
      </c>
      <c r="O193" s="7">
        <f t="shared" si="5"/>
        <v>46027</v>
      </c>
    </row>
    <row r="194" spans="1:15" x14ac:dyDescent="0.3">
      <c r="A194" t="s">
        <v>207</v>
      </c>
      <c r="B194">
        <v>306</v>
      </c>
      <c r="C194">
        <v>34</v>
      </c>
      <c r="D194" s="1">
        <v>46045.433333333334</v>
      </c>
      <c r="E194">
        <v>2999</v>
      </c>
      <c r="F194" t="s">
        <v>12</v>
      </c>
      <c r="G194" t="s">
        <v>10</v>
      </c>
      <c r="H194">
        <v>37</v>
      </c>
      <c r="I194" t="str">
        <f>IFERROR(VLOOKUP(C194,Merchants!$A$2:$D$41,2,FALSE),"Merchant not found")</f>
        <v>Merchant_034</v>
      </c>
      <c r="J194" t="str">
        <f>IFERROR(VLOOKUP(C194,Merchants!$A$2:$D$41,3,FALSE),"Merchant not found")</f>
        <v>travel</v>
      </c>
      <c r="K194" t="str">
        <f>IFERROR(VLOOKUP(C194,Merchants!$A$2:$D$41,4,FALSE), "Merchant Not Fount")</f>
        <v>South</v>
      </c>
      <c r="L194" s="2">
        <f>HLOOKUP(F194,HLOOKUP_Reference!$A$1:$E$2,2,FALSE)</f>
        <v>2E-3</v>
      </c>
      <c r="M194">
        <f>SUMIFS(Daily_Merchant_Pivot!$E:$E,Daily_Merchant_Pivot!$A:$A,C194,Daily_Merchant_Pivot!$D:$D,INT(D194))</f>
        <v>3148</v>
      </c>
      <c r="N194" t="str">
        <f t="shared" si="4"/>
        <v>Normal Merchant Day</v>
      </c>
      <c r="O194" s="7">
        <f t="shared" si="5"/>
        <v>46045</v>
      </c>
    </row>
    <row r="195" spans="1:15" x14ac:dyDescent="0.3">
      <c r="A195" t="s">
        <v>208</v>
      </c>
      <c r="B195">
        <v>221</v>
      </c>
      <c r="C195">
        <v>7</v>
      </c>
      <c r="D195" s="1">
        <v>46037.693055555559</v>
      </c>
      <c r="E195">
        <v>149</v>
      </c>
      <c r="F195" t="s">
        <v>15</v>
      </c>
      <c r="G195" t="s">
        <v>10</v>
      </c>
      <c r="H195">
        <v>89</v>
      </c>
      <c r="I195" t="str">
        <f>IFERROR(VLOOKUP(C195,Merchants!$A$2:$D$41,2,FALSE),"Merchant not found")</f>
        <v>Merchant_007</v>
      </c>
      <c r="J195" t="str">
        <f>IFERROR(VLOOKUP(C195,Merchants!$A$2:$D$41,3,FALSE),"Merchant not found")</f>
        <v>food_delivery</v>
      </c>
      <c r="K195" t="str">
        <f>IFERROR(VLOOKUP(C195,Merchants!$A$2:$D$41,4,FALSE), "Merchant Not Fount")</f>
        <v>East</v>
      </c>
      <c r="L195" s="2">
        <f>HLOOKUP(F195,HLOOKUP_Reference!$A$1:$E$2,2,FALSE)</f>
        <v>0.01</v>
      </c>
      <c r="M195">
        <f>SUMIFS(Daily_Merchant_Pivot!$E:$E,Daily_Merchant_Pivot!$A:$A,C195,Daily_Merchant_Pivot!$D:$D,INT(D195))</f>
        <v>1648</v>
      </c>
      <c r="N195" t="str">
        <f t="shared" ref="N195:N258" si="6">IF(AND(M195&gt;5000,K195&lt;&gt;"East"),"High-Value Merchant Day","Normal Merchant Day")</f>
        <v>Normal Merchant Day</v>
      </c>
      <c r="O195" s="7">
        <f t="shared" ref="O195:O258" si="7">INT(D195)</f>
        <v>46037</v>
      </c>
    </row>
    <row r="196" spans="1:15" x14ac:dyDescent="0.3">
      <c r="A196" t="s">
        <v>209</v>
      </c>
      <c r="B196">
        <v>283</v>
      </c>
      <c r="C196">
        <v>14</v>
      </c>
      <c r="D196" s="1">
        <v>46026.861805555556</v>
      </c>
      <c r="E196">
        <v>99</v>
      </c>
      <c r="F196" t="s">
        <v>9</v>
      </c>
      <c r="G196" t="s">
        <v>10</v>
      </c>
      <c r="H196">
        <v>55</v>
      </c>
      <c r="I196" t="str">
        <f>IFERROR(VLOOKUP(C196,Merchants!$A$2:$D$41,2,FALSE),"Merchant not found")</f>
        <v>Merchant_014</v>
      </c>
      <c r="J196" t="str">
        <f>IFERROR(VLOOKUP(C196,Merchants!$A$2:$D$41,3,FALSE),"Merchant not found")</f>
        <v>grocery</v>
      </c>
      <c r="K196" t="str">
        <f>IFERROR(VLOOKUP(C196,Merchants!$A$2:$D$41,4,FALSE), "Merchant Not Fount")</f>
        <v>East</v>
      </c>
      <c r="L196" s="2">
        <f>HLOOKUP(F196,HLOOKUP_Reference!$A$1:$E$2,2,FALSE)</f>
        <v>6.4999999999999997E-3</v>
      </c>
      <c r="M196">
        <f>SUMIFS(Daily_Merchant_Pivot!$E:$E,Daily_Merchant_Pivot!$A:$A,C196,Daily_Merchant_Pivot!$D:$D,INT(D196))</f>
        <v>99</v>
      </c>
      <c r="N196" t="str">
        <f t="shared" si="6"/>
        <v>Normal Merchant Day</v>
      </c>
      <c r="O196" s="7">
        <f t="shared" si="7"/>
        <v>46026</v>
      </c>
    </row>
    <row r="197" spans="1:15" x14ac:dyDescent="0.3">
      <c r="A197" t="s">
        <v>210</v>
      </c>
      <c r="B197">
        <v>174</v>
      </c>
      <c r="C197">
        <v>30</v>
      </c>
      <c r="D197" s="1">
        <v>46037.30972222222</v>
      </c>
      <c r="E197">
        <v>49</v>
      </c>
      <c r="F197" t="s">
        <v>12</v>
      </c>
      <c r="G197" t="s">
        <v>10</v>
      </c>
      <c r="H197">
        <v>51</v>
      </c>
      <c r="I197" t="str">
        <f>IFERROR(VLOOKUP(C197,Merchants!$A$2:$D$41,2,FALSE),"Merchant not found")</f>
        <v>Merchant_030</v>
      </c>
      <c r="J197" t="str">
        <f>IFERROR(VLOOKUP(C197,Merchants!$A$2:$D$41,3,FALSE),"Merchant not found")</f>
        <v>travel</v>
      </c>
      <c r="K197" t="str">
        <f>IFERROR(VLOOKUP(C197,Merchants!$A$2:$D$41,4,FALSE), "Merchant Not Fount")</f>
        <v>West</v>
      </c>
      <c r="L197" s="2">
        <f>HLOOKUP(F197,HLOOKUP_Reference!$A$1:$E$2,2,FALSE)</f>
        <v>2E-3</v>
      </c>
      <c r="M197">
        <f>SUMIFS(Daily_Merchant_Pivot!$E:$E,Daily_Merchant_Pivot!$A:$A,C197,Daily_Merchant_Pivot!$D:$D,INT(D197))</f>
        <v>49</v>
      </c>
      <c r="N197" t="str">
        <f t="shared" si="6"/>
        <v>Normal Merchant Day</v>
      </c>
      <c r="O197" s="7">
        <f t="shared" si="7"/>
        <v>46037</v>
      </c>
    </row>
    <row r="198" spans="1:15" x14ac:dyDescent="0.3">
      <c r="A198" t="s">
        <v>211</v>
      </c>
      <c r="B198">
        <v>161</v>
      </c>
      <c r="C198">
        <v>28</v>
      </c>
      <c r="D198" s="1">
        <v>46036.962500000001</v>
      </c>
      <c r="E198">
        <v>49</v>
      </c>
      <c r="F198" t="s">
        <v>12</v>
      </c>
      <c r="G198" t="s">
        <v>10</v>
      </c>
      <c r="H198">
        <v>40</v>
      </c>
      <c r="I198" t="str">
        <f>IFERROR(VLOOKUP(C198,Merchants!$A$2:$D$41,2,FALSE),"Merchant not found")</f>
        <v>Merchant_028</v>
      </c>
      <c r="J198" t="str">
        <f>IFERROR(VLOOKUP(C198,Merchants!$A$2:$D$41,3,FALSE),"Merchant not found")</f>
        <v>ecommerce</v>
      </c>
      <c r="K198" t="str">
        <f>IFERROR(VLOOKUP(C198,Merchants!$A$2:$D$41,4,FALSE), "Merchant Not Fount")</f>
        <v>South</v>
      </c>
      <c r="L198" s="2">
        <f>HLOOKUP(F198,HLOOKUP_Reference!$A$1:$E$2,2,FALSE)</f>
        <v>2E-3</v>
      </c>
      <c r="M198">
        <f>SUMIFS(Daily_Merchant_Pivot!$E:$E,Daily_Merchant_Pivot!$A:$A,C198,Daily_Merchant_Pivot!$D:$D,INT(D198))</f>
        <v>49</v>
      </c>
      <c r="N198" t="str">
        <f t="shared" si="6"/>
        <v>Normal Merchant Day</v>
      </c>
      <c r="O198" s="7">
        <f t="shared" si="7"/>
        <v>46036</v>
      </c>
    </row>
    <row r="199" spans="1:15" x14ac:dyDescent="0.3">
      <c r="A199" t="s">
        <v>212</v>
      </c>
      <c r="B199">
        <v>79</v>
      </c>
      <c r="C199">
        <v>31</v>
      </c>
      <c r="D199" s="1">
        <v>46044.349305555559</v>
      </c>
      <c r="E199">
        <v>99</v>
      </c>
      <c r="F199" t="s">
        <v>12</v>
      </c>
      <c r="G199" t="s">
        <v>10</v>
      </c>
      <c r="H199">
        <v>8</v>
      </c>
      <c r="I199" t="str">
        <f>IFERROR(VLOOKUP(C199,Merchants!$A$2:$D$41,2,FALSE),"Merchant not found")</f>
        <v>Merchant_031</v>
      </c>
      <c r="J199" t="str">
        <f>IFERROR(VLOOKUP(C199,Merchants!$A$2:$D$41,3,FALSE),"Merchant not found")</f>
        <v>bill_payment</v>
      </c>
      <c r="K199" t="str">
        <f>IFERROR(VLOOKUP(C199,Merchants!$A$2:$D$41,4,FALSE), "Merchant Not Fount")</f>
        <v>East</v>
      </c>
      <c r="L199" s="2">
        <f>HLOOKUP(F199,HLOOKUP_Reference!$A$1:$E$2,2,FALSE)</f>
        <v>2E-3</v>
      </c>
      <c r="M199">
        <f>SUMIFS(Daily_Merchant_Pivot!$E:$E,Daily_Merchant_Pivot!$A:$A,C199,Daily_Merchant_Pivot!$D:$D,INT(D199))</f>
        <v>99</v>
      </c>
      <c r="N199" t="str">
        <f t="shared" si="6"/>
        <v>Normal Merchant Day</v>
      </c>
      <c r="O199" s="7">
        <f t="shared" si="7"/>
        <v>46044</v>
      </c>
    </row>
    <row r="200" spans="1:15" x14ac:dyDescent="0.3">
      <c r="A200" t="s">
        <v>213</v>
      </c>
      <c r="B200">
        <v>222</v>
      </c>
      <c r="C200">
        <v>7</v>
      </c>
      <c r="D200" s="1">
        <v>46025.086805555555</v>
      </c>
      <c r="E200">
        <v>149</v>
      </c>
      <c r="F200" t="s">
        <v>9</v>
      </c>
      <c r="G200" t="s">
        <v>10</v>
      </c>
      <c r="H200">
        <v>95</v>
      </c>
      <c r="I200" t="str">
        <f>IFERROR(VLOOKUP(C200,Merchants!$A$2:$D$41,2,FALSE),"Merchant not found")</f>
        <v>Merchant_007</v>
      </c>
      <c r="J200" t="str">
        <f>IFERROR(VLOOKUP(C200,Merchants!$A$2:$D$41,3,FALSE),"Merchant not found")</f>
        <v>food_delivery</v>
      </c>
      <c r="K200" t="str">
        <f>IFERROR(VLOOKUP(C200,Merchants!$A$2:$D$41,4,FALSE), "Merchant Not Fount")</f>
        <v>East</v>
      </c>
      <c r="L200" s="2">
        <f>HLOOKUP(F200,HLOOKUP_Reference!$A$1:$E$2,2,FALSE)</f>
        <v>6.4999999999999997E-3</v>
      </c>
      <c r="M200">
        <f>SUMIFS(Daily_Merchant_Pivot!$E:$E,Daily_Merchant_Pivot!$A:$A,C200,Daily_Merchant_Pivot!$D:$D,INT(D200))</f>
        <v>149</v>
      </c>
      <c r="N200" t="str">
        <f t="shared" si="6"/>
        <v>Normal Merchant Day</v>
      </c>
      <c r="O200" s="7">
        <f t="shared" si="7"/>
        <v>46025</v>
      </c>
    </row>
    <row r="201" spans="1:15" x14ac:dyDescent="0.3">
      <c r="A201" t="s">
        <v>214</v>
      </c>
      <c r="B201">
        <v>67</v>
      </c>
      <c r="C201">
        <v>36</v>
      </c>
      <c r="D201" s="1">
        <v>46046.493750000001</v>
      </c>
      <c r="E201">
        <v>99</v>
      </c>
      <c r="F201" t="s">
        <v>12</v>
      </c>
      <c r="G201" t="s">
        <v>10</v>
      </c>
      <c r="H201">
        <v>7</v>
      </c>
      <c r="I201" t="str">
        <f>IFERROR(VLOOKUP(C201,Merchants!$A$2:$D$41,2,FALSE),"Merchant not found")</f>
        <v>Merchant_036</v>
      </c>
      <c r="J201" t="str">
        <f>IFERROR(VLOOKUP(C201,Merchants!$A$2:$D$41,3,FALSE),"Merchant not found")</f>
        <v>entertainment</v>
      </c>
      <c r="K201" t="str">
        <f>IFERROR(VLOOKUP(C201,Merchants!$A$2:$D$41,4,FALSE), "Merchant Not Fount")</f>
        <v>East</v>
      </c>
      <c r="L201" s="2">
        <f>HLOOKUP(F201,HLOOKUP_Reference!$A$1:$E$2,2,FALSE)</f>
        <v>2E-3</v>
      </c>
      <c r="M201">
        <f>SUMIFS(Daily_Merchant_Pivot!$E:$E,Daily_Merchant_Pivot!$A:$A,C201,Daily_Merchant_Pivot!$D:$D,INT(D201))</f>
        <v>1647</v>
      </c>
      <c r="N201" t="str">
        <f t="shared" si="6"/>
        <v>Normal Merchant Day</v>
      </c>
      <c r="O201" s="7">
        <f t="shared" si="7"/>
        <v>46046</v>
      </c>
    </row>
    <row r="202" spans="1:15" x14ac:dyDescent="0.3">
      <c r="A202" t="s">
        <v>215</v>
      </c>
      <c r="B202">
        <v>169</v>
      </c>
      <c r="C202">
        <v>8</v>
      </c>
      <c r="D202" s="1">
        <v>46041.732638888891</v>
      </c>
      <c r="E202">
        <v>99</v>
      </c>
      <c r="F202" t="s">
        <v>12</v>
      </c>
      <c r="G202" t="s">
        <v>10</v>
      </c>
      <c r="H202">
        <v>52</v>
      </c>
      <c r="I202" t="str">
        <f>IFERROR(VLOOKUP(C202,Merchants!$A$2:$D$41,2,FALSE),"Merchant not found")</f>
        <v>Merchant_008</v>
      </c>
      <c r="J202" t="str">
        <f>IFERROR(VLOOKUP(C202,Merchants!$A$2:$D$41,3,FALSE),"Merchant not found")</f>
        <v>food_delivery</v>
      </c>
      <c r="K202" t="str">
        <f>IFERROR(VLOOKUP(C202,Merchants!$A$2:$D$41,4,FALSE), "Merchant Not Fount")</f>
        <v>North</v>
      </c>
      <c r="L202" s="2">
        <f>HLOOKUP(F202,HLOOKUP_Reference!$A$1:$E$2,2,FALSE)</f>
        <v>2E-3</v>
      </c>
      <c r="M202">
        <f>SUMIFS(Daily_Merchant_Pivot!$E:$E,Daily_Merchant_Pivot!$A:$A,C202,Daily_Merchant_Pivot!$D:$D,INT(D202))</f>
        <v>99</v>
      </c>
      <c r="N202" t="str">
        <f t="shared" si="6"/>
        <v>Normal Merchant Day</v>
      </c>
      <c r="O202" s="7">
        <f t="shared" si="7"/>
        <v>46041</v>
      </c>
    </row>
    <row r="203" spans="1:15" x14ac:dyDescent="0.3">
      <c r="A203" t="s">
        <v>216</v>
      </c>
      <c r="B203">
        <v>217</v>
      </c>
      <c r="C203">
        <v>4</v>
      </c>
      <c r="D203" s="1">
        <v>46034.908333333333</v>
      </c>
      <c r="E203">
        <v>49</v>
      </c>
      <c r="F203" t="s">
        <v>12</v>
      </c>
      <c r="G203" t="s">
        <v>10</v>
      </c>
      <c r="H203">
        <v>36</v>
      </c>
      <c r="I203" t="str">
        <f>IFERROR(VLOOKUP(C203,Merchants!$A$2:$D$41,2,FALSE),"Merchant not found")</f>
        <v>Merchant_004</v>
      </c>
      <c r="J203" t="str">
        <f>IFERROR(VLOOKUP(C203,Merchants!$A$2:$D$41,3,FALSE),"Merchant not found")</f>
        <v>ecommerce</v>
      </c>
      <c r="K203" t="str">
        <f>IFERROR(VLOOKUP(C203,Merchants!$A$2:$D$41,4,FALSE), "Merchant Not Fount")</f>
        <v>East</v>
      </c>
      <c r="L203" s="2">
        <f>HLOOKUP(F203,HLOOKUP_Reference!$A$1:$E$2,2,FALSE)</f>
        <v>2E-3</v>
      </c>
      <c r="M203">
        <f>SUMIFS(Daily_Merchant_Pivot!$E:$E,Daily_Merchant_Pivot!$A:$A,C203,Daily_Merchant_Pivot!$D:$D,INT(D203))</f>
        <v>49</v>
      </c>
      <c r="N203" t="str">
        <f t="shared" si="6"/>
        <v>Normal Merchant Day</v>
      </c>
      <c r="O203" s="7">
        <f t="shared" si="7"/>
        <v>46034</v>
      </c>
    </row>
    <row r="204" spans="1:15" x14ac:dyDescent="0.3">
      <c r="A204" t="s">
        <v>217</v>
      </c>
      <c r="B204">
        <v>54</v>
      </c>
      <c r="C204">
        <v>37</v>
      </c>
      <c r="D204" s="1">
        <v>46042.390277777777</v>
      </c>
      <c r="E204">
        <v>149</v>
      </c>
      <c r="F204" t="s">
        <v>12</v>
      </c>
      <c r="G204" t="s">
        <v>10</v>
      </c>
      <c r="H204">
        <v>64</v>
      </c>
      <c r="I204" t="str">
        <f>IFERROR(VLOOKUP(C204,Merchants!$A$2:$D$41,2,FALSE),"Merchant not found")</f>
        <v>Merchant_037</v>
      </c>
      <c r="J204" t="str">
        <f>IFERROR(VLOOKUP(C204,Merchants!$A$2:$D$41,3,FALSE),"Merchant not found")</f>
        <v>entertainment</v>
      </c>
      <c r="K204" t="str">
        <f>IFERROR(VLOOKUP(C204,Merchants!$A$2:$D$41,4,FALSE), "Merchant Not Fount")</f>
        <v>South</v>
      </c>
      <c r="L204" s="2">
        <f>HLOOKUP(F204,HLOOKUP_Reference!$A$1:$E$2,2,FALSE)</f>
        <v>2E-3</v>
      </c>
      <c r="M204">
        <f>SUMIFS(Daily_Merchant_Pivot!$E:$E,Daily_Merchant_Pivot!$A:$A,C204,Daily_Merchant_Pivot!$D:$D,INT(D204))</f>
        <v>149</v>
      </c>
      <c r="N204" t="str">
        <f t="shared" si="6"/>
        <v>Normal Merchant Day</v>
      </c>
      <c r="O204" s="7">
        <f t="shared" si="7"/>
        <v>46042</v>
      </c>
    </row>
    <row r="205" spans="1:15" x14ac:dyDescent="0.3">
      <c r="A205" t="s">
        <v>218</v>
      </c>
      <c r="B205">
        <v>247</v>
      </c>
      <c r="C205">
        <v>15</v>
      </c>
      <c r="D205" s="1">
        <v>46029.195833333331</v>
      </c>
      <c r="E205">
        <v>49</v>
      </c>
      <c r="F205" t="s">
        <v>24</v>
      </c>
      <c r="G205" t="s">
        <v>10</v>
      </c>
      <c r="H205">
        <v>13</v>
      </c>
      <c r="I205" t="str">
        <f>IFERROR(VLOOKUP(C205,Merchants!$A$2:$D$41,2,FALSE),"Merchant not found")</f>
        <v>Merchant_015</v>
      </c>
      <c r="J205" t="str">
        <f>IFERROR(VLOOKUP(C205,Merchants!$A$2:$D$41,3,FALSE),"Merchant not found")</f>
        <v>travel</v>
      </c>
      <c r="K205" t="str">
        <f>IFERROR(VLOOKUP(C205,Merchants!$A$2:$D$41,4,FALSE), "Merchant Not Fount")</f>
        <v>North</v>
      </c>
      <c r="L205" s="2">
        <f>HLOOKUP(F205,HLOOKUP_Reference!$A$1:$E$2,2,FALSE)</f>
        <v>1.4999999999999999E-2</v>
      </c>
      <c r="M205">
        <f>SUMIFS(Daily_Merchant_Pivot!$E:$E,Daily_Merchant_Pivot!$A:$A,C205,Daily_Merchant_Pivot!$D:$D,INT(D205))</f>
        <v>49</v>
      </c>
      <c r="N205" t="str">
        <f t="shared" si="6"/>
        <v>Normal Merchant Day</v>
      </c>
      <c r="O205" s="7">
        <f t="shared" si="7"/>
        <v>46029</v>
      </c>
    </row>
    <row r="206" spans="1:15" x14ac:dyDescent="0.3">
      <c r="A206" t="s">
        <v>219</v>
      </c>
      <c r="B206">
        <v>59</v>
      </c>
      <c r="C206">
        <v>18</v>
      </c>
      <c r="D206" s="1">
        <v>46034.724305555559</v>
      </c>
      <c r="E206">
        <v>49</v>
      </c>
      <c r="F206" t="s">
        <v>24</v>
      </c>
      <c r="G206" t="s">
        <v>10</v>
      </c>
      <c r="H206">
        <v>73</v>
      </c>
      <c r="I206" t="str">
        <f>IFERROR(VLOOKUP(C206,Merchants!$A$2:$D$41,2,FALSE),"Merchant not found")</f>
        <v>Merchant_018</v>
      </c>
      <c r="J206" t="str">
        <f>IFERROR(VLOOKUP(C206,Merchants!$A$2:$D$41,3,FALSE),"Merchant not found")</f>
        <v>grocery</v>
      </c>
      <c r="K206" t="str">
        <f>IFERROR(VLOOKUP(C206,Merchants!$A$2:$D$41,4,FALSE), "Merchant Not Fount")</f>
        <v>West</v>
      </c>
      <c r="L206" s="2">
        <f>HLOOKUP(F206,HLOOKUP_Reference!$A$1:$E$2,2,FALSE)</f>
        <v>1.4999999999999999E-2</v>
      </c>
      <c r="M206">
        <f>SUMIFS(Daily_Merchant_Pivot!$E:$E,Daily_Merchant_Pivot!$A:$A,C206,Daily_Merchant_Pivot!$D:$D,INT(D206))</f>
        <v>49</v>
      </c>
      <c r="N206" t="str">
        <f t="shared" si="6"/>
        <v>Normal Merchant Day</v>
      </c>
      <c r="O206" s="7">
        <f t="shared" si="7"/>
        <v>46034</v>
      </c>
    </row>
    <row r="207" spans="1:15" x14ac:dyDescent="0.3">
      <c r="A207" t="s">
        <v>220</v>
      </c>
      <c r="B207">
        <v>288</v>
      </c>
      <c r="C207">
        <v>40</v>
      </c>
      <c r="D207" s="1">
        <v>46030.57916666667</v>
      </c>
      <c r="E207">
        <v>49</v>
      </c>
      <c r="F207" t="s">
        <v>12</v>
      </c>
      <c r="G207" t="s">
        <v>25</v>
      </c>
      <c r="H207">
        <v>78</v>
      </c>
      <c r="I207" t="str">
        <f>IFERROR(VLOOKUP(C207,Merchants!$A$2:$D$41,2,FALSE),"Merchant not found")</f>
        <v>Merchant_040</v>
      </c>
      <c r="J207" t="str">
        <f>IFERROR(VLOOKUP(C207,Merchants!$A$2:$D$41,3,FALSE),"Merchant not found")</f>
        <v>entertainment</v>
      </c>
      <c r="K207" t="str">
        <f>IFERROR(VLOOKUP(C207,Merchants!$A$2:$D$41,4,FALSE), "Merchant Not Fount")</f>
        <v>South</v>
      </c>
      <c r="L207" s="2">
        <f>HLOOKUP(F207,HLOOKUP_Reference!$A$1:$E$2,2,FALSE)</f>
        <v>2E-3</v>
      </c>
      <c r="M207">
        <f>SUMIFS(Daily_Merchant_Pivot!$E:$E,Daily_Merchant_Pivot!$A:$A,C207,Daily_Merchant_Pivot!$D:$D,INT(D207))</f>
        <v>49</v>
      </c>
      <c r="N207" t="str">
        <f t="shared" si="6"/>
        <v>Normal Merchant Day</v>
      </c>
      <c r="O207" s="7">
        <f t="shared" si="7"/>
        <v>46030</v>
      </c>
    </row>
    <row r="208" spans="1:15" x14ac:dyDescent="0.3">
      <c r="A208" t="s">
        <v>221</v>
      </c>
      <c r="B208">
        <v>14</v>
      </c>
      <c r="C208">
        <v>39</v>
      </c>
      <c r="D208" s="1">
        <v>46044.857638888891</v>
      </c>
      <c r="E208">
        <v>799</v>
      </c>
      <c r="F208" t="s">
        <v>12</v>
      </c>
      <c r="G208" t="s">
        <v>10</v>
      </c>
      <c r="H208">
        <v>84</v>
      </c>
      <c r="I208" t="str">
        <f>IFERROR(VLOOKUP(C208,Merchants!$A$2:$D$41,2,FALSE),"Merchant not found")</f>
        <v>Merchant_039</v>
      </c>
      <c r="J208" t="str">
        <f>IFERROR(VLOOKUP(C208,Merchants!$A$2:$D$41,3,FALSE),"Merchant not found")</f>
        <v>entertainment</v>
      </c>
      <c r="K208" t="str">
        <f>IFERROR(VLOOKUP(C208,Merchants!$A$2:$D$41,4,FALSE), "Merchant Not Fount")</f>
        <v>North</v>
      </c>
      <c r="L208" s="2">
        <f>HLOOKUP(F208,HLOOKUP_Reference!$A$1:$E$2,2,FALSE)</f>
        <v>2E-3</v>
      </c>
      <c r="M208">
        <f>SUMIFS(Daily_Merchant_Pivot!$E:$E,Daily_Merchant_Pivot!$A:$A,C208,Daily_Merchant_Pivot!$D:$D,INT(D208))</f>
        <v>9796</v>
      </c>
      <c r="N208" t="str">
        <f t="shared" si="6"/>
        <v>High-Value Merchant Day</v>
      </c>
      <c r="O208" s="7">
        <f t="shared" si="7"/>
        <v>46044</v>
      </c>
    </row>
    <row r="209" spans="1:15" x14ac:dyDescent="0.3">
      <c r="A209" t="s">
        <v>222</v>
      </c>
      <c r="B209">
        <v>15</v>
      </c>
      <c r="C209">
        <v>12</v>
      </c>
      <c r="D209" s="1">
        <v>46049.928472222222</v>
      </c>
      <c r="E209">
        <v>149</v>
      </c>
      <c r="F209" t="s">
        <v>12</v>
      </c>
      <c r="G209" t="s">
        <v>10</v>
      </c>
      <c r="H209">
        <v>34</v>
      </c>
      <c r="I209" t="str">
        <f>IFERROR(VLOOKUP(C209,Merchants!$A$2:$D$41,2,FALSE),"Merchant not found")</f>
        <v>Merchant_012</v>
      </c>
      <c r="J209" t="str">
        <f>IFERROR(VLOOKUP(C209,Merchants!$A$2:$D$41,3,FALSE),"Merchant not found")</f>
        <v>ecommerce</v>
      </c>
      <c r="K209" t="str">
        <f>IFERROR(VLOOKUP(C209,Merchants!$A$2:$D$41,4,FALSE), "Merchant Not Fount")</f>
        <v>East</v>
      </c>
      <c r="L209" s="2">
        <f>HLOOKUP(F209,HLOOKUP_Reference!$A$1:$E$2,2,FALSE)</f>
        <v>2E-3</v>
      </c>
      <c r="M209">
        <f>SUMIFS(Daily_Merchant_Pivot!$E:$E,Daily_Merchant_Pivot!$A:$A,C209,Daily_Merchant_Pivot!$D:$D,INT(D209))</f>
        <v>149</v>
      </c>
      <c r="N209" t="str">
        <f t="shared" si="6"/>
        <v>Normal Merchant Day</v>
      </c>
      <c r="O209" s="7">
        <f t="shared" si="7"/>
        <v>46049</v>
      </c>
    </row>
    <row r="210" spans="1:15" x14ac:dyDescent="0.3">
      <c r="A210" t="s">
        <v>223</v>
      </c>
      <c r="B210">
        <v>174</v>
      </c>
      <c r="C210">
        <v>23</v>
      </c>
      <c r="D210" s="1">
        <v>46045.415277777778</v>
      </c>
      <c r="E210">
        <v>149</v>
      </c>
      <c r="F210" t="s">
        <v>12</v>
      </c>
      <c r="G210" t="s">
        <v>10</v>
      </c>
      <c r="H210">
        <v>0</v>
      </c>
      <c r="I210" t="str">
        <f>IFERROR(VLOOKUP(C210,Merchants!$A$2:$D$41,2,FALSE),"Merchant not found")</f>
        <v>Merchant_023</v>
      </c>
      <c r="J210" t="str">
        <f>IFERROR(VLOOKUP(C210,Merchants!$A$2:$D$41,3,FALSE),"Merchant not found")</f>
        <v>travel</v>
      </c>
      <c r="K210" t="str">
        <f>IFERROR(VLOOKUP(C210,Merchants!$A$2:$D$41,4,FALSE), "Merchant Not Fount")</f>
        <v>North</v>
      </c>
      <c r="L210" s="2">
        <f>HLOOKUP(F210,HLOOKUP_Reference!$A$1:$E$2,2,FALSE)</f>
        <v>2E-3</v>
      </c>
      <c r="M210">
        <f>SUMIFS(Daily_Merchant_Pivot!$E:$E,Daily_Merchant_Pivot!$A:$A,C210,Daily_Merchant_Pivot!$D:$D,INT(D210))</f>
        <v>247</v>
      </c>
      <c r="N210" t="str">
        <f t="shared" si="6"/>
        <v>Normal Merchant Day</v>
      </c>
      <c r="O210" s="7">
        <f t="shared" si="7"/>
        <v>46045</v>
      </c>
    </row>
    <row r="211" spans="1:15" x14ac:dyDescent="0.3">
      <c r="A211" t="s">
        <v>224</v>
      </c>
      <c r="B211">
        <v>337</v>
      </c>
      <c r="C211">
        <v>26</v>
      </c>
      <c r="D211" s="1">
        <v>46028.191666666666</v>
      </c>
      <c r="E211">
        <v>49</v>
      </c>
      <c r="F211" t="s">
        <v>12</v>
      </c>
      <c r="G211" t="s">
        <v>10</v>
      </c>
      <c r="H211">
        <v>8</v>
      </c>
      <c r="I211" t="str">
        <f>IFERROR(VLOOKUP(C211,Merchants!$A$2:$D$41,2,FALSE),"Merchant not found")</f>
        <v>Merchant_026</v>
      </c>
      <c r="J211" t="str">
        <f>IFERROR(VLOOKUP(C211,Merchants!$A$2:$D$41,3,FALSE),"Merchant not found")</f>
        <v>food_delivery</v>
      </c>
      <c r="K211" t="str">
        <f>IFERROR(VLOOKUP(C211,Merchants!$A$2:$D$41,4,FALSE), "Merchant Not Fount")</f>
        <v>East</v>
      </c>
      <c r="L211" s="2">
        <f>HLOOKUP(F211,HLOOKUP_Reference!$A$1:$E$2,2,FALSE)</f>
        <v>2E-3</v>
      </c>
      <c r="M211">
        <f>SUMIFS(Daily_Merchant_Pivot!$E:$E,Daily_Merchant_Pivot!$A:$A,C211,Daily_Merchant_Pivot!$D:$D,INT(D211))</f>
        <v>49</v>
      </c>
      <c r="N211" t="str">
        <f t="shared" si="6"/>
        <v>Normal Merchant Day</v>
      </c>
      <c r="O211" s="7">
        <f t="shared" si="7"/>
        <v>46028</v>
      </c>
    </row>
    <row r="212" spans="1:15" x14ac:dyDescent="0.3">
      <c r="A212" t="s">
        <v>225</v>
      </c>
      <c r="B212">
        <v>16</v>
      </c>
      <c r="C212">
        <v>6</v>
      </c>
      <c r="D212" s="1">
        <v>46027.986111111109</v>
      </c>
      <c r="E212">
        <v>1499</v>
      </c>
      <c r="F212" t="s">
        <v>12</v>
      </c>
      <c r="G212" t="s">
        <v>10</v>
      </c>
      <c r="H212">
        <v>95</v>
      </c>
      <c r="I212" t="str">
        <f>IFERROR(VLOOKUP(C212,Merchants!$A$2:$D$41,2,FALSE),"Merchant not found")</f>
        <v>Merchant_006</v>
      </c>
      <c r="J212" t="str">
        <f>IFERROR(VLOOKUP(C212,Merchants!$A$2:$D$41,3,FALSE),"Merchant not found")</f>
        <v>food_delivery</v>
      </c>
      <c r="K212" t="str">
        <f>IFERROR(VLOOKUP(C212,Merchants!$A$2:$D$41,4,FALSE), "Merchant Not Fount")</f>
        <v>South</v>
      </c>
      <c r="L212" s="2">
        <f>HLOOKUP(F212,HLOOKUP_Reference!$A$1:$E$2,2,FALSE)</f>
        <v>2E-3</v>
      </c>
      <c r="M212">
        <f>SUMIFS(Daily_Merchant_Pivot!$E:$E,Daily_Merchant_Pivot!$A:$A,C212,Daily_Merchant_Pivot!$D:$D,INT(D212))</f>
        <v>1499</v>
      </c>
      <c r="N212" t="str">
        <f t="shared" si="6"/>
        <v>Normal Merchant Day</v>
      </c>
      <c r="O212" s="7">
        <f t="shared" si="7"/>
        <v>46027</v>
      </c>
    </row>
    <row r="213" spans="1:15" x14ac:dyDescent="0.3">
      <c r="A213" t="s">
        <v>226</v>
      </c>
      <c r="B213">
        <v>215</v>
      </c>
      <c r="C213">
        <v>30</v>
      </c>
      <c r="D213" s="1">
        <v>46039.26666666667</v>
      </c>
      <c r="E213">
        <v>49</v>
      </c>
      <c r="F213" t="s">
        <v>12</v>
      </c>
      <c r="G213" t="s">
        <v>10</v>
      </c>
      <c r="H213">
        <v>43</v>
      </c>
      <c r="I213" t="str">
        <f>IFERROR(VLOOKUP(C213,Merchants!$A$2:$D$41,2,FALSE),"Merchant not found")</f>
        <v>Merchant_030</v>
      </c>
      <c r="J213" t="str">
        <f>IFERROR(VLOOKUP(C213,Merchants!$A$2:$D$41,3,FALSE),"Merchant not found")</f>
        <v>travel</v>
      </c>
      <c r="K213" t="str">
        <f>IFERROR(VLOOKUP(C213,Merchants!$A$2:$D$41,4,FALSE), "Merchant Not Fount")</f>
        <v>West</v>
      </c>
      <c r="L213" s="2">
        <f>HLOOKUP(F213,HLOOKUP_Reference!$A$1:$E$2,2,FALSE)</f>
        <v>2E-3</v>
      </c>
      <c r="M213">
        <f>SUMIFS(Daily_Merchant_Pivot!$E:$E,Daily_Merchant_Pivot!$A:$A,C213,Daily_Merchant_Pivot!$D:$D,INT(D213))</f>
        <v>49</v>
      </c>
      <c r="N213" t="str">
        <f t="shared" si="6"/>
        <v>Normal Merchant Day</v>
      </c>
      <c r="O213" s="7">
        <f t="shared" si="7"/>
        <v>46039</v>
      </c>
    </row>
    <row r="214" spans="1:15" x14ac:dyDescent="0.3">
      <c r="A214" t="s">
        <v>227</v>
      </c>
      <c r="B214">
        <v>167</v>
      </c>
      <c r="C214">
        <v>37</v>
      </c>
      <c r="D214" s="1">
        <v>46028.47152777778</v>
      </c>
      <c r="E214">
        <v>99</v>
      </c>
      <c r="F214" t="s">
        <v>12</v>
      </c>
      <c r="G214" t="s">
        <v>10</v>
      </c>
      <c r="H214">
        <v>76</v>
      </c>
      <c r="I214" t="str">
        <f>IFERROR(VLOOKUP(C214,Merchants!$A$2:$D$41,2,FALSE),"Merchant not found")</f>
        <v>Merchant_037</v>
      </c>
      <c r="J214" t="str">
        <f>IFERROR(VLOOKUP(C214,Merchants!$A$2:$D$41,3,FALSE),"Merchant not found")</f>
        <v>entertainment</v>
      </c>
      <c r="K214" t="str">
        <f>IFERROR(VLOOKUP(C214,Merchants!$A$2:$D$41,4,FALSE), "Merchant Not Fount")</f>
        <v>South</v>
      </c>
      <c r="L214" s="2">
        <f>HLOOKUP(F214,HLOOKUP_Reference!$A$1:$E$2,2,FALSE)</f>
        <v>2E-3</v>
      </c>
      <c r="M214">
        <f>SUMIFS(Daily_Merchant_Pivot!$E:$E,Daily_Merchant_Pivot!$A:$A,C214,Daily_Merchant_Pivot!$D:$D,INT(D214))</f>
        <v>99</v>
      </c>
      <c r="N214" t="str">
        <f t="shared" si="6"/>
        <v>Normal Merchant Day</v>
      </c>
      <c r="O214" s="7">
        <f t="shared" si="7"/>
        <v>46028</v>
      </c>
    </row>
    <row r="215" spans="1:15" x14ac:dyDescent="0.3">
      <c r="A215" t="s">
        <v>228</v>
      </c>
      <c r="B215">
        <v>81</v>
      </c>
      <c r="C215">
        <v>40</v>
      </c>
      <c r="D215" s="1">
        <v>46025.04791666667</v>
      </c>
      <c r="E215">
        <v>49</v>
      </c>
      <c r="F215" t="s">
        <v>12</v>
      </c>
      <c r="G215" t="s">
        <v>10</v>
      </c>
      <c r="H215">
        <v>6</v>
      </c>
      <c r="I215" t="str">
        <f>IFERROR(VLOOKUP(C215,Merchants!$A$2:$D$41,2,FALSE),"Merchant not found")</f>
        <v>Merchant_040</v>
      </c>
      <c r="J215" t="str">
        <f>IFERROR(VLOOKUP(C215,Merchants!$A$2:$D$41,3,FALSE),"Merchant not found")</f>
        <v>entertainment</v>
      </c>
      <c r="K215" t="str">
        <f>IFERROR(VLOOKUP(C215,Merchants!$A$2:$D$41,4,FALSE), "Merchant Not Fount")</f>
        <v>South</v>
      </c>
      <c r="L215" s="2">
        <f>HLOOKUP(F215,HLOOKUP_Reference!$A$1:$E$2,2,FALSE)</f>
        <v>2E-3</v>
      </c>
      <c r="M215">
        <f>SUMIFS(Daily_Merchant_Pivot!$E:$E,Daily_Merchant_Pivot!$A:$A,C215,Daily_Merchant_Pivot!$D:$D,INT(D215))</f>
        <v>49</v>
      </c>
      <c r="N215" t="str">
        <f t="shared" si="6"/>
        <v>Normal Merchant Day</v>
      </c>
      <c r="O215" s="7">
        <f t="shared" si="7"/>
        <v>46025</v>
      </c>
    </row>
    <row r="216" spans="1:15" x14ac:dyDescent="0.3">
      <c r="A216" t="s">
        <v>229</v>
      </c>
      <c r="B216">
        <v>227</v>
      </c>
      <c r="C216">
        <v>28</v>
      </c>
      <c r="D216" s="1">
        <v>46044.095138888886</v>
      </c>
      <c r="E216">
        <v>99</v>
      </c>
      <c r="F216" t="s">
        <v>12</v>
      </c>
      <c r="G216" t="s">
        <v>10</v>
      </c>
      <c r="H216">
        <v>62</v>
      </c>
      <c r="I216" t="str">
        <f>IFERROR(VLOOKUP(C216,Merchants!$A$2:$D$41,2,FALSE),"Merchant not found")</f>
        <v>Merchant_028</v>
      </c>
      <c r="J216" t="str">
        <f>IFERROR(VLOOKUP(C216,Merchants!$A$2:$D$41,3,FALSE),"Merchant not found")</f>
        <v>ecommerce</v>
      </c>
      <c r="K216" t="str">
        <f>IFERROR(VLOOKUP(C216,Merchants!$A$2:$D$41,4,FALSE), "Merchant Not Fount")</f>
        <v>South</v>
      </c>
      <c r="L216" s="2">
        <f>HLOOKUP(F216,HLOOKUP_Reference!$A$1:$E$2,2,FALSE)</f>
        <v>2E-3</v>
      </c>
      <c r="M216">
        <f>SUMIFS(Daily_Merchant_Pivot!$E:$E,Daily_Merchant_Pivot!$A:$A,C216,Daily_Merchant_Pivot!$D:$D,INT(D216))</f>
        <v>99</v>
      </c>
      <c r="N216" t="str">
        <f t="shared" si="6"/>
        <v>Normal Merchant Day</v>
      </c>
      <c r="O216" s="7">
        <f t="shared" si="7"/>
        <v>46044</v>
      </c>
    </row>
    <row r="217" spans="1:15" x14ac:dyDescent="0.3">
      <c r="A217" t="s">
        <v>230</v>
      </c>
      <c r="B217">
        <v>140</v>
      </c>
      <c r="C217">
        <v>14</v>
      </c>
      <c r="D217" s="1">
        <v>46042.601388888892</v>
      </c>
      <c r="E217">
        <v>299</v>
      </c>
      <c r="F217" t="s">
        <v>9</v>
      </c>
      <c r="G217" t="s">
        <v>10</v>
      </c>
      <c r="H217">
        <v>96</v>
      </c>
      <c r="I217" t="str">
        <f>IFERROR(VLOOKUP(C217,Merchants!$A$2:$D$41,2,FALSE),"Merchant not found")</f>
        <v>Merchant_014</v>
      </c>
      <c r="J217" t="str">
        <f>IFERROR(VLOOKUP(C217,Merchants!$A$2:$D$41,3,FALSE),"Merchant not found")</f>
        <v>grocery</v>
      </c>
      <c r="K217" t="str">
        <f>IFERROR(VLOOKUP(C217,Merchants!$A$2:$D$41,4,FALSE), "Merchant Not Fount")</f>
        <v>East</v>
      </c>
      <c r="L217" s="2">
        <f>HLOOKUP(F217,HLOOKUP_Reference!$A$1:$E$2,2,FALSE)</f>
        <v>6.4999999999999997E-3</v>
      </c>
      <c r="M217">
        <f>SUMIFS(Daily_Merchant_Pivot!$E:$E,Daily_Merchant_Pivot!$A:$A,C217,Daily_Merchant_Pivot!$D:$D,INT(D217))</f>
        <v>299</v>
      </c>
      <c r="N217" t="str">
        <f t="shared" si="6"/>
        <v>Normal Merchant Day</v>
      </c>
      <c r="O217" s="7">
        <f t="shared" si="7"/>
        <v>46042</v>
      </c>
    </row>
    <row r="218" spans="1:15" x14ac:dyDescent="0.3">
      <c r="A218" t="s">
        <v>231</v>
      </c>
      <c r="B218">
        <v>221</v>
      </c>
      <c r="C218">
        <v>8</v>
      </c>
      <c r="D218" s="1">
        <v>46039.140277777777</v>
      </c>
      <c r="E218">
        <v>299</v>
      </c>
      <c r="F218" t="s">
        <v>12</v>
      </c>
      <c r="G218" t="s">
        <v>10</v>
      </c>
      <c r="H218">
        <v>36</v>
      </c>
      <c r="I218" t="str">
        <f>IFERROR(VLOOKUP(C218,Merchants!$A$2:$D$41,2,FALSE),"Merchant not found")</f>
        <v>Merchant_008</v>
      </c>
      <c r="J218" t="str">
        <f>IFERROR(VLOOKUP(C218,Merchants!$A$2:$D$41,3,FALSE),"Merchant not found")</f>
        <v>food_delivery</v>
      </c>
      <c r="K218" t="str">
        <f>IFERROR(VLOOKUP(C218,Merchants!$A$2:$D$41,4,FALSE), "Merchant Not Fount")</f>
        <v>North</v>
      </c>
      <c r="L218" s="2">
        <f>HLOOKUP(F218,HLOOKUP_Reference!$A$1:$E$2,2,FALSE)</f>
        <v>2E-3</v>
      </c>
      <c r="M218">
        <f>SUMIFS(Daily_Merchant_Pivot!$E:$E,Daily_Merchant_Pivot!$A:$A,C218,Daily_Merchant_Pivot!$D:$D,INT(D218))</f>
        <v>348</v>
      </c>
      <c r="N218" t="str">
        <f t="shared" si="6"/>
        <v>Normal Merchant Day</v>
      </c>
      <c r="O218" s="7">
        <f t="shared" si="7"/>
        <v>46039</v>
      </c>
    </row>
    <row r="219" spans="1:15" x14ac:dyDescent="0.3">
      <c r="A219" t="s">
        <v>232</v>
      </c>
      <c r="B219">
        <v>250</v>
      </c>
      <c r="C219">
        <v>34</v>
      </c>
      <c r="D219" s="1">
        <v>46044.900694444441</v>
      </c>
      <c r="E219">
        <v>299</v>
      </c>
      <c r="F219" t="s">
        <v>9</v>
      </c>
      <c r="G219" t="s">
        <v>10</v>
      </c>
      <c r="H219">
        <v>85</v>
      </c>
      <c r="I219" t="str">
        <f>IFERROR(VLOOKUP(C219,Merchants!$A$2:$D$41,2,FALSE),"Merchant not found")</f>
        <v>Merchant_034</v>
      </c>
      <c r="J219" t="str">
        <f>IFERROR(VLOOKUP(C219,Merchants!$A$2:$D$41,3,FALSE),"Merchant not found")</f>
        <v>travel</v>
      </c>
      <c r="K219" t="str">
        <f>IFERROR(VLOOKUP(C219,Merchants!$A$2:$D$41,4,FALSE), "Merchant Not Fount")</f>
        <v>South</v>
      </c>
      <c r="L219" s="2">
        <f>HLOOKUP(F219,HLOOKUP_Reference!$A$1:$E$2,2,FALSE)</f>
        <v>6.4999999999999997E-3</v>
      </c>
      <c r="M219">
        <f>SUMIFS(Daily_Merchant_Pivot!$E:$E,Daily_Merchant_Pivot!$A:$A,C219,Daily_Merchant_Pivot!$D:$D,INT(D219))</f>
        <v>299</v>
      </c>
      <c r="N219" t="str">
        <f t="shared" si="6"/>
        <v>Normal Merchant Day</v>
      </c>
      <c r="O219" s="7">
        <f t="shared" si="7"/>
        <v>46044</v>
      </c>
    </row>
    <row r="220" spans="1:15" x14ac:dyDescent="0.3">
      <c r="A220" t="s">
        <v>233</v>
      </c>
      <c r="B220">
        <v>203</v>
      </c>
      <c r="C220">
        <v>39</v>
      </c>
      <c r="D220" s="1">
        <v>46032.051388888889</v>
      </c>
      <c r="E220">
        <v>49</v>
      </c>
      <c r="F220" t="s">
        <v>12</v>
      </c>
      <c r="G220" t="s">
        <v>10</v>
      </c>
      <c r="H220">
        <v>7</v>
      </c>
      <c r="I220" t="str">
        <f>IFERROR(VLOOKUP(C220,Merchants!$A$2:$D$41,2,FALSE),"Merchant not found")</f>
        <v>Merchant_039</v>
      </c>
      <c r="J220" t="str">
        <f>IFERROR(VLOOKUP(C220,Merchants!$A$2:$D$41,3,FALSE),"Merchant not found")</f>
        <v>entertainment</v>
      </c>
      <c r="K220" t="str">
        <f>IFERROR(VLOOKUP(C220,Merchants!$A$2:$D$41,4,FALSE), "Merchant Not Fount")</f>
        <v>North</v>
      </c>
      <c r="L220" s="2">
        <f>HLOOKUP(F220,HLOOKUP_Reference!$A$1:$E$2,2,FALSE)</f>
        <v>2E-3</v>
      </c>
      <c r="M220">
        <f>SUMIFS(Daily_Merchant_Pivot!$E:$E,Daily_Merchant_Pivot!$A:$A,C220,Daily_Merchant_Pivot!$D:$D,INT(D220))</f>
        <v>49</v>
      </c>
      <c r="N220" t="str">
        <f t="shared" si="6"/>
        <v>Normal Merchant Day</v>
      </c>
      <c r="O220" s="7">
        <f t="shared" si="7"/>
        <v>46032</v>
      </c>
    </row>
    <row r="221" spans="1:15" x14ac:dyDescent="0.3">
      <c r="A221" t="s">
        <v>234</v>
      </c>
      <c r="B221">
        <v>109</v>
      </c>
      <c r="C221">
        <v>9</v>
      </c>
      <c r="D221" s="1">
        <v>46023.263194444444</v>
      </c>
      <c r="E221">
        <v>499</v>
      </c>
      <c r="F221" t="s">
        <v>9</v>
      </c>
      <c r="G221" t="s">
        <v>10</v>
      </c>
      <c r="H221">
        <v>97</v>
      </c>
      <c r="I221" t="str">
        <f>IFERROR(VLOOKUP(C221,Merchants!$A$2:$D$41,2,FALSE),"Merchant not found")</f>
        <v>Merchant_009</v>
      </c>
      <c r="J221" t="str">
        <f>IFERROR(VLOOKUP(C221,Merchants!$A$2:$D$41,3,FALSE),"Merchant not found")</f>
        <v>ecommerce</v>
      </c>
      <c r="K221" t="str">
        <f>IFERROR(VLOOKUP(C221,Merchants!$A$2:$D$41,4,FALSE), "Merchant Not Fount")</f>
        <v>North</v>
      </c>
      <c r="L221" s="2">
        <f>HLOOKUP(F221,HLOOKUP_Reference!$A$1:$E$2,2,FALSE)</f>
        <v>6.4999999999999997E-3</v>
      </c>
      <c r="M221">
        <f>SUMIFS(Daily_Merchant_Pivot!$E:$E,Daily_Merchant_Pivot!$A:$A,C221,Daily_Merchant_Pivot!$D:$D,INT(D221))</f>
        <v>499</v>
      </c>
      <c r="N221" t="str">
        <f t="shared" si="6"/>
        <v>Normal Merchant Day</v>
      </c>
      <c r="O221" s="7">
        <f t="shared" si="7"/>
        <v>46023</v>
      </c>
    </row>
    <row r="222" spans="1:15" x14ac:dyDescent="0.3">
      <c r="A222" t="s">
        <v>235</v>
      </c>
      <c r="B222">
        <v>62</v>
      </c>
      <c r="C222">
        <v>1</v>
      </c>
      <c r="D222" s="1">
        <v>46031.388888888891</v>
      </c>
      <c r="E222">
        <v>4999</v>
      </c>
      <c r="F222" t="s">
        <v>9</v>
      </c>
      <c r="G222" t="s">
        <v>10</v>
      </c>
      <c r="H222">
        <v>63</v>
      </c>
      <c r="I222" t="str">
        <f>IFERROR(VLOOKUP(C222,Merchants!$A$2:$D$41,2,FALSE),"Merchant not found")</f>
        <v>Merchant_001</v>
      </c>
      <c r="J222" t="str">
        <f>IFERROR(VLOOKUP(C222,Merchants!$A$2:$D$41,3,FALSE),"Merchant not found")</f>
        <v>ecommerce</v>
      </c>
      <c r="K222" t="str">
        <f>IFERROR(VLOOKUP(C222,Merchants!$A$2:$D$41,4,FALSE), "Merchant Not Fount")</f>
        <v>South</v>
      </c>
      <c r="L222" s="2">
        <f>HLOOKUP(F222,HLOOKUP_Reference!$A$1:$E$2,2,FALSE)</f>
        <v>6.4999999999999997E-3</v>
      </c>
      <c r="M222">
        <f>SUMIFS(Daily_Merchant_Pivot!$E:$E,Daily_Merchant_Pivot!$A:$A,C222,Daily_Merchant_Pivot!$D:$D,INT(D222))</f>
        <v>5048</v>
      </c>
      <c r="N222" t="str">
        <f t="shared" si="6"/>
        <v>High-Value Merchant Day</v>
      </c>
      <c r="O222" s="7">
        <f t="shared" si="7"/>
        <v>46031</v>
      </c>
    </row>
    <row r="223" spans="1:15" x14ac:dyDescent="0.3">
      <c r="A223" t="s">
        <v>236</v>
      </c>
      <c r="B223">
        <v>67</v>
      </c>
      <c r="C223">
        <v>25</v>
      </c>
      <c r="D223" s="1">
        <v>46046.549305555556</v>
      </c>
      <c r="E223">
        <v>49</v>
      </c>
      <c r="F223" t="s">
        <v>12</v>
      </c>
      <c r="G223" t="s">
        <v>10</v>
      </c>
      <c r="H223">
        <v>68</v>
      </c>
      <c r="I223" t="str">
        <f>IFERROR(VLOOKUP(C223,Merchants!$A$2:$D$41,2,FALSE),"Merchant not found")</f>
        <v>Merchant_025</v>
      </c>
      <c r="J223" t="str">
        <f>IFERROR(VLOOKUP(C223,Merchants!$A$2:$D$41,3,FALSE),"Merchant not found")</f>
        <v>travel</v>
      </c>
      <c r="K223" t="str">
        <f>IFERROR(VLOOKUP(C223,Merchants!$A$2:$D$41,4,FALSE), "Merchant Not Fount")</f>
        <v>South</v>
      </c>
      <c r="L223" s="2">
        <f>HLOOKUP(F223,HLOOKUP_Reference!$A$1:$E$2,2,FALSE)</f>
        <v>2E-3</v>
      </c>
      <c r="M223">
        <f>SUMIFS(Daily_Merchant_Pivot!$E:$E,Daily_Merchant_Pivot!$A:$A,C223,Daily_Merchant_Pivot!$D:$D,INT(D223))</f>
        <v>497</v>
      </c>
      <c r="N223" t="str">
        <f t="shared" si="6"/>
        <v>Normal Merchant Day</v>
      </c>
      <c r="O223" s="7">
        <f t="shared" si="7"/>
        <v>46046</v>
      </c>
    </row>
    <row r="224" spans="1:15" x14ac:dyDescent="0.3">
      <c r="A224" t="s">
        <v>237</v>
      </c>
      <c r="B224">
        <v>287</v>
      </c>
      <c r="C224">
        <v>23</v>
      </c>
      <c r="D224" s="1">
        <v>46045.313888888886</v>
      </c>
      <c r="E224">
        <v>49</v>
      </c>
      <c r="F224" t="s">
        <v>12</v>
      </c>
      <c r="G224" t="s">
        <v>10</v>
      </c>
      <c r="H224">
        <v>9</v>
      </c>
      <c r="I224" t="str">
        <f>IFERROR(VLOOKUP(C224,Merchants!$A$2:$D$41,2,FALSE),"Merchant not found")</f>
        <v>Merchant_023</v>
      </c>
      <c r="J224" t="str">
        <f>IFERROR(VLOOKUP(C224,Merchants!$A$2:$D$41,3,FALSE),"Merchant not found")</f>
        <v>travel</v>
      </c>
      <c r="K224" t="str">
        <f>IFERROR(VLOOKUP(C224,Merchants!$A$2:$D$41,4,FALSE), "Merchant Not Fount")</f>
        <v>North</v>
      </c>
      <c r="L224" s="2">
        <f>HLOOKUP(F224,HLOOKUP_Reference!$A$1:$E$2,2,FALSE)</f>
        <v>2E-3</v>
      </c>
      <c r="M224">
        <f>SUMIFS(Daily_Merchant_Pivot!$E:$E,Daily_Merchant_Pivot!$A:$A,C224,Daily_Merchant_Pivot!$D:$D,INT(D224))</f>
        <v>247</v>
      </c>
      <c r="N224" t="str">
        <f t="shared" si="6"/>
        <v>Normal Merchant Day</v>
      </c>
      <c r="O224" s="7">
        <f t="shared" si="7"/>
        <v>46045</v>
      </c>
    </row>
    <row r="225" spans="1:15" x14ac:dyDescent="0.3">
      <c r="A225" t="s">
        <v>238</v>
      </c>
      <c r="B225">
        <v>224</v>
      </c>
      <c r="C225">
        <v>2</v>
      </c>
      <c r="D225" s="1">
        <v>46035.959722222222</v>
      </c>
      <c r="E225">
        <v>49</v>
      </c>
      <c r="F225" t="s">
        <v>24</v>
      </c>
      <c r="G225" t="s">
        <v>10</v>
      </c>
      <c r="H225">
        <v>58</v>
      </c>
      <c r="I225" t="str">
        <f>IFERROR(VLOOKUP(C225,Merchants!$A$2:$D$41,2,FALSE),"Merchant not found")</f>
        <v>Merchant_002</v>
      </c>
      <c r="J225" t="str">
        <f>IFERROR(VLOOKUP(C225,Merchants!$A$2:$D$41,3,FALSE),"Merchant not found")</f>
        <v>grocery</v>
      </c>
      <c r="K225" t="str">
        <f>IFERROR(VLOOKUP(C225,Merchants!$A$2:$D$41,4,FALSE), "Merchant Not Fount")</f>
        <v>West</v>
      </c>
      <c r="L225" s="2">
        <f>HLOOKUP(F225,HLOOKUP_Reference!$A$1:$E$2,2,FALSE)</f>
        <v>1.4999999999999999E-2</v>
      </c>
      <c r="M225">
        <f>SUMIFS(Daily_Merchant_Pivot!$E:$E,Daily_Merchant_Pivot!$A:$A,C225,Daily_Merchant_Pivot!$D:$D,INT(D225))</f>
        <v>49</v>
      </c>
      <c r="N225" t="str">
        <f t="shared" si="6"/>
        <v>Normal Merchant Day</v>
      </c>
      <c r="O225" s="7">
        <f t="shared" si="7"/>
        <v>46035</v>
      </c>
    </row>
    <row r="226" spans="1:15" x14ac:dyDescent="0.3">
      <c r="A226" t="s">
        <v>239</v>
      </c>
      <c r="B226">
        <v>161</v>
      </c>
      <c r="C226">
        <v>37</v>
      </c>
      <c r="D226" s="1">
        <v>46052.121527777781</v>
      </c>
      <c r="E226">
        <v>299</v>
      </c>
      <c r="F226" t="s">
        <v>12</v>
      </c>
      <c r="G226" t="s">
        <v>10</v>
      </c>
      <c r="H226">
        <v>54</v>
      </c>
      <c r="I226" t="str">
        <f>IFERROR(VLOOKUP(C226,Merchants!$A$2:$D$41,2,FALSE),"Merchant not found")</f>
        <v>Merchant_037</v>
      </c>
      <c r="J226" t="str">
        <f>IFERROR(VLOOKUP(C226,Merchants!$A$2:$D$41,3,FALSE),"Merchant not found")</f>
        <v>entertainment</v>
      </c>
      <c r="K226" t="str">
        <f>IFERROR(VLOOKUP(C226,Merchants!$A$2:$D$41,4,FALSE), "Merchant Not Fount")</f>
        <v>South</v>
      </c>
      <c r="L226" s="2">
        <f>HLOOKUP(F226,HLOOKUP_Reference!$A$1:$E$2,2,FALSE)</f>
        <v>2E-3</v>
      </c>
      <c r="M226">
        <f>SUMIFS(Daily_Merchant_Pivot!$E:$E,Daily_Merchant_Pivot!$A:$A,C226,Daily_Merchant_Pivot!$D:$D,INT(D226))</f>
        <v>299</v>
      </c>
      <c r="N226" t="str">
        <f t="shared" si="6"/>
        <v>Normal Merchant Day</v>
      </c>
      <c r="O226" s="7">
        <f t="shared" si="7"/>
        <v>46052</v>
      </c>
    </row>
    <row r="227" spans="1:15" x14ac:dyDescent="0.3">
      <c r="A227" t="s">
        <v>240</v>
      </c>
      <c r="B227">
        <v>328</v>
      </c>
      <c r="C227">
        <v>27</v>
      </c>
      <c r="D227" s="1">
        <v>46041.53125</v>
      </c>
      <c r="E227">
        <v>49</v>
      </c>
      <c r="F227" t="s">
        <v>12</v>
      </c>
      <c r="G227" t="s">
        <v>38</v>
      </c>
      <c r="H227">
        <v>37</v>
      </c>
      <c r="I227" t="str">
        <f>IFERROR(VLOOKUP(C227,Merchants!$A$2:$D$41,2,FALSE),"Merchant not found")</f>
        <v>Merchant_027</v>
      </c>
      <c r="J227" t="str">
        <f>IFERROR(VLOOKUP(C227,Merchants!$A$2:$D$41,3,FALSE),"Merchant not found")</f>
        <v>ecommerce</v>
      </c>
      <c r="K227" t="str">
        <f>IFERROR(VLOOKUP(C227,Merchants!$A$2:$D$41,4,FALSE), "Merchant Not Fount")</f>
        <v>North</v>
      </c>
      <c r="L227" s="2">
        <f>HLOOKUP(F227,HLOOKUP_Reference!$A$1:$E$2,2,FALSE)</f>
        <v>2E-3</v>
      </c>
      <c r="M227">
        <f>SUMIFS(Daily_Merchant_Pivot!$E:$E,Daily_Merchant_Pivot!$A:$A,C227,Daily_Merchant_Pivot!$D:$D,INT(D227))</f>
        <v>49</v>
      </c>
      <c r="N227" t="str">
        <f t="shared" si="6"/>
        <v>Normal Merchant Day</v>
      </c>
      <c r="O227" s="7">
        <f t="shared" si="7"/>
        <v>46041</v>
      </c>
    </row>
    <row r="228" spans="1:15" x14ac:dyDescent="0.3">
      <c r="A228" t="s">
        <v>241</v>
      </c>
      <c r="B228">
        <v>167</v>
      </c>
      <c r="C228">
        <v>11</v>
      </c>
      <c r="D228" s="1">
        <v>46026.500694444447</v>
      </c>
      <c r="E228">
        <v>1499</v>
      </c>
      <c r="F228" t="s">
        <v>24</v>
      </c>
      <c r="G228" t="s">
        <v>25</v>
      </c>
      <c r="H228">
        <v>79</v>
      </c>
      <c r="I228" t="str">
        <f>IFERROR(VLOOKUP(C228,Merchants!$A$2:$D$41,2,FALSE),"Merchant not found")</f>
        <v>Merchant_011</v>
      </c>
      <c r="J228" t="str">
        <f>IFERROR(VLOOKUP(C228,Merchants!$A$2:$D$41,3,FALSE),"Merchant not found")</f>
        <v>ecommerce</v>
      </c>
      <c r="K228" t="str">
        <f>IFERROR(VLOOKUP(C228,Merchants!$A$2:$D$41,4,FALSE), "Merchant Not Fount")</f>
        <v>North</v>
      </c>
      <c r="L228" s="2">
        <f>HLOOKUP(F228,HLOOKUP_Reference!$A$1:$E$2,2,FALSE)</f>
        <v>1.4999999999999999E-2</v>
      </c>
      <c r="M228">
        <f>SUMIFS(Daily_Merchant_Pivot!$E:$E,Daily_Merchant_Pivot!$A:$A,C228,Daily_Merchant_Pivot!$D:$D,INT(D228))</f>
        <v>1499</v>
      </c>
      <c r="N228" t="str">
        <f t="shared" si="6"/>
        <v>Normal Merchant Day</v>
      </c>
      <c r="O228" s="7">
        <f t="shared" si="7"/>
        <v>46026</v>
      </c>
    </row>
    <row r="229" spans="1:15" x14ac:dyDescent="0.3">
      <c r="A229" t="s">
        <v>242</v>
      </c>
      <c r="B229">
        <v>186</v>
      </c>
      <c r="C229">
        <v>6</v>
      </c>
      <c r="D229" s="1">
        <v>46037.956944444442</v>
      </c>
      <c r="E229">
        <v>49</v>
      </c>
      <c r="F229" t="s">
        <v>9</v>
      </c>
      <c r="G229" t="s">
        <v>10</v>
      </c>
      <c r="H229">
        <v>55</v>
      </c>
      <c r="I229" t="str">
        <f>IFERROR(VLOOKUP(C229,Merchants!$A$2:$D$41,2,FALSE),"Merchant not found")</f>
        <v>Merchant_006</v>
      </c>
      <c r="J229" t="str">
        <f>IFERROR(VLOOKUP(C229,Merchants!$A$2:$D$41,3,FALSE),"Merchant not found")</f>
        <v>food_delivery</v>
      </c>
      <c r="K229" t="str">
        <f>IFERROR(VLOOKUP(C229,Merchants!$A$2:$D$41,4,FALSE), "Merchant Not Fount")</f>
        <v>South</v>
      </c>
      <c r="L229" s="2">
        <f>HLOOKUP(F229,HLOOKUP_Reference!$A$1:$E$2,2,FALSE)</f>
        <v>6.4999999999999997E-3</v>
      </c>
      <c r="M229">
        <f>SUMIFS(Daily_Merchant_Pivot!$E:$E,Daily_Merchant_Pivot!$A:$A,C229,Daily_Merchant_Pivot!$D:$D,INT(D229))</f>
        <v>49</v>
      </c>
      <c r="N229" t="str">
        <f t="shared" si="6"/>
        <v>Normal Merchant Day</v>
      </c>
      <c r="O229" s="7">
        <f t="shared" si="7"/>
        <v>46037</v>
      </c>
    </row>
    <row r="230" spans="1:15" x14ac:dyDescent="0.3">
      <c r="A230" t="s">
        <v>243</v>
      </c>
      <c r="B230">
        <v>224</v>
      </c>
      <c r="C230">
        <v>38</v>
      </c>
      <c r="D230" s="1">
        <v>46050.135416666664</v>
      </c>
      <c r="E230">
        <v>299</v>
      </c>
      <c r="F230" t="s">
        <v>9</v>
      </c>
      <c r="G230" t="s">
        <v>25</v>
      </c>
      <c r="H230">
        <v>51</v>
      </c>
      <c r="I230" t="str">
        <f>IFERROR(VLOOKUP(C230,Merchants!$A$2:$D$41,2,FALSE),"Merchant not found")</f>
        <v>Merchant_038</v>
      </c>
      <c r="J230" t="str">
        <f>IFERROR(VLOOKUP(C230,Merchants!$A$2:$D$41,3,FALSE),"Merchant not found")</f>
        <v>grocery</v>
      </c>
      <c r="K230" t="str">
        <f>IFERROR(VLOOKUP(C230,Merchants!$A$2:$D$41,4,FALSE), "Merchant Not Fount")</f>
        <v>East</v>
      </c>
      <c r="L230" s="2">
        <f>HLOOKUP(F230,HLOOKUP_Reference!$A$1:$E$2,2,FALSE)</f>
        <v>6.4999999999999997E-3</v>
      </c>
      <c r="M230">
        <f>SUMIFS(Daily_Merchant_Pivot!$E:$E,Daily_Merchant_Pivot!$A:$A,C230,Daily_Merchant_Pivot!$D:$D,INT(D230))</f>
        <v>299</v>
      </c>
      <c r="N230" t="str">
        <f t="shared" si="6"/>
        <v>Normal Merchant Day</v>
      </c>
      <c r="O230" s="7">
        <f t="shared" si="7"/>
        <v>46050</v>
      </c>
    </row>
    <row r="231" spans="1:15" x14ac:dyDescent="0.3">
      <c r="A231" t="s">
        <v>244</v>
      </c>
      <c r="B231">
        <v>159</v>
      </c>
      <c r="C231">
        <v>22</v>
      </c>
      <c r="D231" s="1">
        <v>46039.100694444445</v>
      </c>
      <c r="E231">
        <v>799</v>
      </c>
      <c r="F231" t="s">
        <v>12</v>
      </c>
      <c r="G231" t="s">
        <v>10</v>
      </c>
      <c r="H231">
        <v>28</v>
      </c>
      <c r="I231" t="str">
        <f>IFERROR(VLOOKUP(C231,Merchants!$A$2:$D$41,2,FALSE),"Merchant not found")</f>
        <v>Merchant_022</v>
      </c>
      <c r="J231" t="str">
        <f>IFERROR(VLOOKUP(C231,Merchants!$A$2:$D$41,3,FALSE),"Merchant not found")</f>
        <v>travel</v>
      </c>
      <c r="K231" t="str">
        <f>IFERROR(VLOOKUP(C231,Merchants!$A$2:$D$41,4,FALSE), "Merchant Not Fount")</f>
        <v>South</v>
      </c>
      <c r="L231" s="2">
        <f>HLOOKUP(F231,HLOOKUP_Reference!$A$1:$E$2,2,FALSE)</f>
        <v>2E-3</v>
      </c>
      <c r="M231">
        <f>SUMIFS(Daily_Merchant_Pivot!$E:$E,Daily_Merchant_Pivot!$A:$A,C231,Daily_Merchant_Pivot!$D:$D,INT(D231))</f>
        <v>1598</v>
      </c>
      <c r="N231" t="str">
        <f t="shared" si="6"/>
        <v>Normal Merchant Day</v>
      </c>
      <c r="O231" s="7">
        <f t="shared" si="7"/>
        <v>46039</v>
      </c>
    </row>
    <row r="232" spans="1:15" x14ac:dyDescent="0.3">
      <c r="A232" t="s">
        <v>245</v>
      </c>
      <c r="B232">
        <v>262</v>
      </c>
      <c r="C232">
        <v>8</v>
      </c>
      <c r="D232" s="1">
        <v>46033.211111111108</v>
      </c>
      <c r="E232">
        <v>149</v>
      </c>
      <c r="F232" t="s">
        <v>12</v>
      </c>
      <c r="G232" t="s">
        <v>10</v>
      </c>
      <c r="H232">
        <v>67</v>
      </c>
      <c r="I232" t="str">
        <f>IFERROR(VLOOKUP(C232,Merchants!$A$2:$D$41,2,FALSE),"Merchant not found")</f>
        <v>Merchant_008</v>
      </c>
      <c r="J232" t="str">
        <f>IFERROR(VLOOKUP(C232,Merchants!$A$2:$D$41,3,FALSE),"Merchant not found")</f>
        <v>food_delivery</v>
      </c>
      <c r="K232" t="str">
        <f>IFERROR(VLOOKUP(C232,Merchants!$A$2:$D$41,4,FALSE), "Merchant Not Fount")</f>
        <v>North</v>
      </c>
      <c r="L232" s="2">
        <f>HLOOKUP(F232,HLOOKUP_Reference!$A$1:$E$2,2,FALSE)</f>
        <v>2E-3</v>
      </c>
      <c r="M232">
        <f>SUMIFS(Daily_Merchant_Pivot!$E:$E,Daily_Merchant_Pivot!$A:$A,C232,Daily_Merchant_Pivot!$D:$D,INT(D232))</f>
        <v>149</v>
      </c>
      <c r="N232" t="str">
        <f t="shared" si="6"/>
        <v>Normal Merchant Day</v>
      </c>
      <c r="O232" s="7">
        <f t="shared" si="7"/>
        <v>46033</v>
      </c>
    </row>
    <row r="233" spans="1:15" x14ac:dyDescent="0.3">
      <c r="A233" t="s">
        <v>246</v>
      </c>
      <c r="B233">
        <v>179</v>
      </c>
      <c r="C233">
        <v>23</v>
      </c>
      <c r="D233" s="1">
        <v>46039.289583333331</v>
      </c>
      <c r="E233">
        <v>49</v>
      </c>
      <c r="F233" t="s">
        <v>9</v>
      </c>
      <c r="G233" t="s">
        <v>10</v>
      </c>
      <c r="H233">
        <v>93</v>
      </c>
      <c r="I233" t="str">
        <f>IFERROR(VLOOKUP(C233,Merchants!$A$2:$D$41,2,FALSE),"Merchant not found")</f>
        <v>Merchant_023</v>
      </c>
      <c r="J233" t="str">
        <f>IFERROR(VLOOKUP(C233,Merchants!$A$2:$D$41,3,FALSE),"Merchant not found")</f>
        <v>travel</v>
      </c>
      <c r="K233" t="str">
        <f>IFERROR(VLOOKUP(C233,Merchants!$A$2:$D$41,4,FALSE), "Merchant Not Fount")</f>
        <v>North</v>
      </c>
      <c r="L233" s="2">
        <f>HLOOKUP(F233,HLOOKUP_Reference!$A$1:$E$2,2,FALSE)</f>
        <v>6.4999999999999997E-3</v>
      </c>
      <c r="M233">
        <f>SUMIFS(Daily_Merchant_Pivot!$E:$E,Daily_Merchant_Pivot!$A:$A,C233,Daily_Merchant_Pivot!$D:$D,INT(D233))</f>
        <v>49</v>
      </c>
      <c r="N233" t="str">
        <f t="shared" si="6"/>
        <v>Normal Merchant Day</v>
      </c>
      <c r="O233" s="7">
        <f t="shared" si="7"/>
        <v>46039</v>
      </c>
    </row>
    <row r="234" spans="1:15" x14ac:dyDescent="0.3">
      <c r="A234" t="s">
        <v>247</v>
      </c>
      <c r="B234">
        <v>76</v>
      </c>
      <c r="C234">
        <v>16</v>
      </c>
      <c r="D234" s="1">
        <v>46049.869444444441</v>
      </c>
      <c r="E234">
        <v>299</v>
      </c>
      <c r="F234" t="s">
        <v>12</v>
      </c>
      <c r="G234" t="s">
        <v>10</v>
      </c>
      <c r="H234">
        <v>13</v>
      </c>
      <c r="I234" t="str">
        <f>IFERROR(VLOOKUP(C234,Merchants!$A$2:$D$41,2,FALSE),"Merchant not found")</f>
        <v>Merchant_016</v>
      </c>
      <c r="J234" t="str">
        <f>IFERROR(VLOOKUP(C234,Merchants!$A$2:$D$41,3,FALSE),"Merchant not found")</f>
        <v>bill_payment</v>
      </c>
      <c r="K234" t="str">
        <f>IFERROR(VLOOKUP(C234,Merchants!$A$2:$D$41,4,FALSE), "Merchant Not Fount")</f>
        <v>West</v>
      </c>
      <c r="L234" s="2">
        <f>HLOOKUP(F234,HLOOKUP_Reference!$A$1:$E$2,2,FALSE)</f>
        <v>2E-3</v>
      </c>
      <c r="M234">
        <f>SUMIFS(Daily_Merchant_Pivot!$E:$E,Daily_Merchant_Pivot!$A:$A,C234,Daily_Merchant_Pivot!$D:$D,INT(D234))</f>
        <v>348</v>
      </c>
      <c r="N234" t="str">
        <f t="shared" si="6"/>
        <v>Normal Merchant Day</v>
      </c>
      <c r="O234" s="7">
        <f t="shared" si="7"/>
        <v>46049</v>
      </c>
    </row>
    <row r="235" spans="1:15" x14ac:dyDescent="0.3">
      <c r="A235" t="s">
        <v>248</v>
      </c>
      <c r="B235">
        <v>89</v>
      </c>
      <c r="C235">
        <v>39</v>
      </c>
      <c r="D235" s="1">
        <v>46027.341666666667</v>
      </c>
      <c r="E235">
        <v>299</v>
      </c>
      <c r="F235" t="s">
        <v>12</v>
      </c>
      <c r="G235" t="s">
        <v>10</v>
      </c>
      <c r="H235">
        <v>19</v>
      </c>
      <c r="I235" t="str">
        <f>IFERROR(VLOOKUP(C235,Merchants!$A$2:$D$41,2,FALSE),"Merchant not found")</f>
        <v>Merchant_039</v>
      </c>
      <c r="J235" t="str">
        <f>IFERROR(VLOOKUP(C235,Merchants!$A$2:$D$41,3,FALSE),"Merchant not found")</f>
        <v>entertainment</v>
      </c>
      <c r="K235" t="str">
        <f>IFERROR(VLOOKUP(C235,Merchants!$A$2:$D$41,4,FALSE), "Merchant Not Fount")</f>
        <v>North</v>
      </c>
      <c r="L235" s="2">
        <f>HLOOKUP(F235,HLOOKUP_Reference!$A$1:$E$2,2,FALSE)</f>
        <v>2E-3</v>
      </c>
      <c r="M235">
        <f>SUMIFS(Daily_Merchant_Pivot!$E:$E,Daily_Merchant_Pivot!$A:$A,C235,Daily_Merchant_Pivot!$D:$D,INT(D235))</f>
        <v>299</v>
      </c>
      <c r="N235" t="str">
        <f t="shared" si="6"/>
        <v>Normal Merchant Day</v>
      </c>
      <c r="O235" s="7">
        <f t="shared" si="7"/>
        <v>46027</v>
      </c>
    </row>
    <row r="236" spans="1:15" x14ac:dyDescent="0.3">
      <c r="A236" t="s">
        <v>249</v>
      </c>
      <c r="B236">
        <v>91</v>
      </c>
      <c r="C236">
        <v>32</v>
      </c>
      <c r="D236" s="1">
        <v>46047.836111111108</v>
      </c>
      <c r="E236">
        <v>49</v>
      </c>
      <c r="F236" t="s">
        <v>12</v>
      </c>
      <c r="G236" t="s">
        <v>10</v>
      </c>
      <c r="H236">
        <v>59</v>
      </c>
      <c r="I236" t="str">
        <f>IFERROR(VLOOKUP(C236,Merchants!$A$2:$D$41,2,FALSE),"Merchant not found")</f>
        <v>Merchant_032</v>
      </c>
      <c r="J236" t="str">
        <f>IFERROR(VLOOKUP(C236,Merchants!$A$2:$D$41,3,FALSE),"Merchant not found")</f>
        <v>food_delivery</v>
      </c>
      <c r="K236" t="str">
        <f>IFERROR(VLOOKUP(C236,Merchants!$A$2:$D$41,4,FALSE), "Merchant Not Fount")</f>
        <v>West</v>
      </c>
      <c r="L236" s="2">
        <f>HLOOKUP(F236,HLOOKUP_Reference!$A$1:$E$2,2,FALSE)</f>
        <v>2E-3</v>
      </c>
      <c r="M236">
        <f>SUMIFS(Daily_Merchant_Pivot!$E:$E,Daily_Merchant_Pivot!$A:$A,C236,Daily_Merchant_Pivot!$D:$D,INT(D236))</f>
        <v>49</v>
      </c>
      <c r="N236" t="str">
        <f t="shared" si="6"/>
        <v>Normal Merchant Day</v>
      </c>
      <c r="O236" s="7">
        <f t="shared" si="7"/>
        <v>46047</v>
      </c>
    </row>
    <row r="237" spans="1:15" x14ac:dyDescent="0.3">
      <c r="A237" t="s">
        <v>250</v>
      </c>
      <c r="B237">
        <v>297</v>
      </c>
      <c r="C237">
        <v>29</v>
      </c>
      <c r="D237" s="1">
        <v>46047.783333333333</v>
      </c>
      <c r="E237">
        <v>99</v>
      </c>
      <c r="F237" t="s">
        <v>24</v>
      </c>
      <c r="G237" t="s">
        <v>38</v>
      </c>
      <c r="H237">
        <v>87</v>
      </c>
      <c r="I237" t="str">
        <f>IFERROR(VLOOKUP(C237,Merchants!$A$2:$D$41,2,FALSE),"Merchant not found")</f>
        <v>Merchant_029</v>
      </c>
      <c r="J237" t="str">
        <f>IFERROR(VLOOKUP(C237,Merchants!$A$2:$D$41,3,FALSE),"Merchant not found")</f>
        <v>ecommerce</v>
      </c>
      <c r="K237" t="str">
        <f>IFERROR(VLOOKUP(C237,Merchants!$A$2:$D$41,4,FALSE), "Merchant Not Fount")</f>
        <v>North</v>
      </c>
      <c r="L237" s="2">
        <f>HLOOKUP(F237,HLOOKUP_Reference!$A$1:$E$2,2,FALSE)</f>
        <v>1.4999999999999999E-2</v>
      </c>
      <c r="M237">
        <f>SUMIFS(Daily_Merchant_Pivot!$E:$E,Daily_Merchant_Pivot!$A:$A,C237,Daily_Merchant_Pivot!$D:$D,INT(D237))</f>
        <v>3896</v>
      </c>
      <c r="N237" t="str">
        <f t="shared" si="6"/>
        <v>Normal Merchant Day</v>
      </c>
      <c r="O237" s="7">
        <f t="shared" si="7"/>
        <v>46047</v>
      </c>
    </row>
    <row r="238" spans="1:15" x14ac:dyDescent="0.3">
      <c r="A238" t="s">
        <v>251</v>
      </c>
      <c r="B238">
        <v>326</v>
      </c>
      <c r="C238">
        <v>40</v>
      </c>
      <c r="D238" s="1">
        <v>46052.77847222222</v>
      </c>
      <c r="E238">
        <v>499</v>
      </c>
      <c r="F238" t="s">
        <v>24</v>
      </c>
      <c r="G238" t="s">
        <v>10</v>
      </c>
      <c r="H238">
        <v>41</v>
      </c>
      <c r="I238" t="str">
        <f>IFERROR(VLOOKUP(C238,Merchants!$A$2:$D$41,2,FALSE),"Merchant not found")</f>
        <v>Merchant_040</v>
      </c>
      <c r="J238" t="str">
        <f>IFERROR(VLOOKUP(C238,Merchants!$A$2:$D$41,3,FALSE),"Merchant not found")</f>
        <v>entertainment</v>
      </c>
      <c r="K238" t="str">
        <f>IFERROR(VLOOKUP(C238,Merchants!$A$2:$D$41,4,FALSE), "Merchant Not Fount")</f>
        <v>South</v>
      </c>
      <c r="L238" s="2">
        <f>HLOOKUP(F238,HLOOKUP_Reference!$A$1:$E$2,2,FALSE)</f>
        <v>1.4999999999999999E-2</v>
      </c>
      <c r="M238">
        <f>SUMIFS(Daily_Merchant_Pivot!$E:$E,Daily_Merchant_Pivot!$A:$A,C238,Daily_Merchant_Pivot!$D:$D,INT(D238))</f>
        <v>499</v>
      </c>
      <c r="N238" t="str">
        <f t="shared" si="6"/>
        <v>Normal Merchant Day</v>
      </c>
      <c r="O238" s="7">
        <f t="shared" si="7"/>
        <v>46052</v>
      </c>
    </row>
    <row r="239" spans="1:15" x14ac:dyDescent="0.3">
      <c r="A239" t="s">
        <v>252</v>
      </c>
      <c r="B239">
        <v>78</v>
      </c>
      <c r="C239">
        <v>29</v>
      </c>
      <c r="D239" s="1">
        <v>46050.847222222219</v>
      </c>
      <c r="E239">
        <v>149</v>
      </c>
      <c r="F239" t="s">
        <v>12</v>
      </c>
      <c r="G239" t="s">
        <v>10</v>
      </c>
      <c r="H239">
        <v>8</v>
      </c>
      <c r="I239" t="str">
        <f>IFERROR(VLOOKUP(C239,Merchants!$A$2:$D$41,2,FALSE),"Merchant not found")</f>
        <v>Merchant_029</v>
      </c>
      <c r="J239" t="str">
        <f>IFERROR(VLOOKUP(C239,Merchants!$A$2:$D$41,3,FALSE),"Merchant not found")</f>
        <v>ecommerce</v>
      </c>
      <c r="K239" t="str">
        <f>IFERROR(VLOOKUP(C239,Merchants!$A$2:$D$41,4,FALSE), "Merchant Not Fount")</f>
        <v>North</v>
      </c>
      <c r="L239" s="2">
        <f>HLOOKUP(F239,HLOOKUP_Reference!$A$1:$E$2,2,FALSE)</f>
        <v>2E-3</v>
      </c>
      <c r="M239">
        <f>SUMIFS(Daily_Merchant_Pivot!$E:$E,Daily_Merchant_Pivot!$A:$A,C239,Daily_Merchant_Pivot!$D:$D,INT(D239))</f>
        <v>149</v>
      </c>
      <c r="N239" t="str">
        <f t="shared" si="6"/>
        <v>Normal Merchant Day</v>
      </c>
      <c r="O239" s="7">
        <f t="shared" si="7"/>
        <v>46050</v>
      </c>
    </row>
    <row r="240" spans="1:15" x14ac:dyDescent="0.3">
      <c r="A240" t="s">
        <v>253</v>
      </c>
      <c r="B240">
        <v>156</v>
      </c>
      <c r="C240">
        <v>18</v>
      </c>
      <c r="D240" s="1">
        <v>46038.611111111109</v>
      </c>
      <c r="E240">
        <v>2999</v>
      </c>
      <c r="F240" t="s">
        <v>24</v>
      </c>
      <c r="G240" t="s">
        <v>10</v>
      </c>
      <c r="H240">
        <v>75</v>
      </c>
      <c r="I240" t="str">
        <f>IFERROR(VLOOKUP(C240,Merchants!$A$2:$D$41,2,FALSE),"Merchant not found")</f>
        <v>Merchant_018</v>
      </c>
      <c r="J240" t="str">
        <f>IFERROR(VLOOKUP(C240,Merchants!$A$2:$D$41,3,FALSE),"Merchant not found")</f>
        <v>grocery</v>
      </c>
      <c r="K240" t="str">
        <f>IFERROR(VLOOKUP(C240,Merchants!$A$2:$D$41,4,FALSE), "Merchant Not Fount")</f>
        <v>West</v>
      </c>
      <c r="L240" s="2">
        <f>HLOOKUP(F240,HLOOKUP_Reference!$A$1:$E$2,2,FALSE)</f>
        <v>1.4999999999999999E-2</v>
      </c>
      <c r="M240">
        <f>SUMIFS(Daily_Merchant_Pivot!$E:$E,Daily_Merchant_Pivot!$A:$A,C240,Daily_Merchant_Pivot!$D:$D,INT(D240))</f>
        <v>3148</v>
      </c>
      <c r="N240" t="str">
        <f t="shared" si="6"/>
        <v>Normal Merchant Day</v>
      </c>
      <c r="O240" s="7">
        <f t="shared" si="7"/>
        <v>46038</v>
      </c>
    </row>
    <row r="241" spans="1:15" x14ac:dyDescent="0.3">
      <c r="A241" t="s">
        <v>254</v>
      </c>
      <c r="B241">
        <v>38</v>
      </c>
      <c r="C241">
        <v>20</v>
      </c>
      <c r="D241" s="1">
        <v>46024.480555555558</v>
      </c>
      <c r="E241">
        <v>49</v>
      </c>
      <c r="F241" t="s">
        <v>9</v>
      </c>
      <c r="G241" t="s">
        <v>25</v>
      </c>
      <c r="H241">
        <v>59</v>
      </c>
      <c r="I241" t="str">
        <f>IFERROR(VLOOKUP(C241,Merchants!$A$2:$D$41,2,FALSE),"Merchant not found")</f>
        <v>Merchant_020</v>
      </c>
      <c r="J241" t="str">
        <f>IFERROR(VLOOKUP(C241,Merchants!$A$2:$D$41,3,FALSE),"Merchant not found")</f>
        <v>food_delivery</v>
      </c>
      <c r="K241" t="str">
        <f>IFERROR(VLOOKUP(C241,Merchants!$A$2:$D$41,4,FALSE), "Merchant Not Fount")</f>
        <v>East</v>
      </c>
      <c r="L241" s="2">
        <f>HLOOKUP(F241,HLOOKUP_Reference!$A$1:$E$2,2,FALSE)</f>
        <v>6.4999999999999997E-3</v>
      </c>
      <c r="M241">
        <f>SUMIFS(Daily_Merchant_Pivot!$E:$E,Daily_Merchant_Pivot!$A:$A,C241,Daily_Merchant_Pivot!$D:$D,INT(D241))</f>
        <v>49</v>
      </c>
      <c r="N241" t="str">
        <f t="shared" si="6"/>
        <v>Normal Merchant Day</v>
      </c>
      <c r="O241" s="7">
        <f t="shared" si="7"/>
        <v>46024</v>
      </c>
    </row>
    <row r="242" spans="1:15" x14ac:dyDescent="0.3">
      <c r="A242" t="s">
        <v>255</v>
      </c>
      <c r="B242">
        <v>189</v>
      </c>
      <c r="C242">
        <v>19</v>
      </c>
      <c r="D242" s="1">
        <v>46037.043749999997</v>
      </c>
      <c r="E242">
        <v>99</v>
      </c>
      <c r="F242" t="s">
        <v>12</v>
      </c>
      <c r="G242" t="s">
        <v>25</v>
      </c>
      <c r="H242">
        <v>9</v>
      </c>
      <c r="I242" t="str">
        <f>IFERROR(VLOOKUP(C242,Merchants!$A$2:$D$41,2,FALSE),"Merchant not found")</f>
        <v>Merchant_019</v>
      </c>
      <c r="J242" t="str">
        <f>IFERROR(VLOOKUP(C242,Merchants!$A$2:$D$41,3,FALSE),"Merchant not found")</f>
        <v>grocery</v>
      </c>
      <c r="K242" t="str">
        <f>IFERROR(VLOOKUP(C242,Merchants!$A$2:$D$41,4,FALSE), "Merchant Not Fount")</f>
        <v>North</v>
      </c>
      <c r="L242" s="2">
        <f>HLOOKUP(F242,HLOOKUP_Reference!$A$1:$E$2,2,FALSE)</f>
        <v>2E-3</v>
      </c>
      <c r="M242">
        <f>SUMIFS(Daily_Merchant_Pivot!$E:$E,Daily_Merchant_Pivot!$A:$A,C242,Daily_Merchant_Pivot!$D:$D,INT(D242))</f>
        <v>398</v>
      </c>
      <c r="N242" t="str">
        <f t="shared" si="6"/>
        <v>Normal Merchant Day</v>
      </c>
      <c r="O242" s="7">
        <f t="shared" si="7"/>
        <v>46037</v>
      </c>
    </row>
    <row r="243" spans="1:15" x14ac:dyDescent="0.3">
      <c r="A243" t="s">
        <v>256</v>
      </c>
      <c r="B243">
        <v>305</v>
      </c>
      <c r="C243">
        <v>33</v>
      </c>
      <c r="D243" s="1">
        <v>46043.11041666667</v>
      </c>
      <c r="E243">
        <v>299</v>
      </c>
      <c r="F243" t="s">
        <v>24</v>
      </c>
      <c r="G243" t="s">
        <v>10</v>
      </c>
      <c r="H243">
        <v>49</v>
      </c>
      <c r="I243" t="str">
        <f>IFERROR(VLOOKUP(C243,Merchants!$A$2:$D$41,2,FALSE),"Merchant not found")</f>
        <v>Merchant_033</v>
      </c>
      <c r="J243" t="str">
        <f>IFERROR(VLOOKUP(C243,Merchants!$A$2:$D$41,3,FALSE),"Merchant not found")</f>
        <v>bill_payment</v>
      </c>
      <c r="K243" t="str">
        <f>IFERROR(VLOOKUP(C243,Merchants!$A$2:$D$41,4,FALSE), "Merchant Not Fount")</f>
        <v>East</v>
      </c>
      <c r="L243" s="2">
        <f>HLOOKUP(F243,HLOOKUP_Reference!$A$1:$E$2,2,FALSE)</f>
        <v>1.4999999999999999E-2</v>
      </c>
      <c r="M243">
        <f>SUMIFS(Daily_Merchant_Pivot!$E:$E,Daily_Merchant_Pivot!$A:$A,C243,Daily_Merchant_Pivot!$D:$D,INT(D243))</f>
        <v>3298</v>
      </c>
      <c r="N243" t="str">
        <f t="shared" si="6"/>
        <v>Normal Merchant Day</v>
      </c>
      <c r="O243" s="7">
        <f t="shared" si="7"/>
        <v>46043</v>
      </c>
    </row>
    <row r="244" spans="1:15" x14ac:dyDescent="0.3">
      <c r="A244" t="s">
        <v>257</v>
      </c>
      <c r="B244">
        <v>22</v>
      </c>
      <c r="C244">
        <v>29</v>
      </c>
      <c r="D244" s="1">
        <v>46037.774305555555</v>
      </c>
      <c r="E244">
        <v>799</v>
      </c>
      <c r="F244" t="s">
        <v>12</v>
      </c>
      <c r="G244" t="s">
        <v>10</v>
      </c>
      <c r="H244">
        <v>73</v>
      </c>
      <c r="I244" t="str">
        <f>IFERROR(VLOOKUP(C244,Merchants!$A$2:$D$41,2,FALSE),"Merchant not found")</f>
        <v>Merchant_029</v>
      </c>
      <c r="J244" t="str">
        <f>IFERROR(VLOOKUP(C244,Merchants!$A$2:$D$41,3,FALSE),"Merchant not found")</f>
        <v>ecommerce</v>
      </c>
      <c r="K244" t="str">
        <f>IFERROR(VLOOKUP(C244,Merchants!$A$2:$D$41,4,FALSE), "Merchant Not Fount")</f>
        <v>North</v>
      </c>
      <c r="L244" s="2">
        <f>HLOOKUP(F244,HLOOKUP_Reference!$A$1:$E$2,2,FALSE)</f>
        <v>2E-3</v>
      </c>
      <c r="M244">
        <f>SUMIFS(Daily_Merchant_Pivot!$E:$E,Daily_Merchant_Pivot!$A:$A,C244,Daily_Merchant_Pivot!$D:$D,INT(D244))</f>
        <v>1098</v>
      </c>
      <c r="N244" t="str">
        <f t="shared" si="6"/>
        <v>Normal Merchant Day</v>
      </c>
      <c r="O244" s="7">
        <f t="shared" si="7"/>
        <v>46037</v>
      </c>
    </row>
    <row r="245" spans="1:15" x14ac:dyDescent="0.3">
      <c r="A245" t="s">
        <v>258</v>
      </c>
      <c r="B245">
        <v>310</v>
      </c>
      <c r="C245">
        <v>31</v>
      </c>
      <c r="D245" s="1">
        <v>46043.263888888891</v>
      </c>
      <c r="E245">
        <v>49</v>
      </c>
      <c r="F245" t="s">
        <v>24</v>
      </c>
      <c r="G245" t="s">
        <v>10</v>
      </c>
      <c r="H245">
        <v>64</v>
      </c>
      <c r="I245" t="str">
        <f>IFERROR(VLOOKUP(C245,Merchants!$A$2:$D$41,2,FALSE),"Merchant not found")</f>
        <v>Merchant_031</v>
      </c>
      <c r="J245" t="str">
        <f>IFERROR(VLOOKUP(C245,Merchants!$A$2:$D$41,3,FALSE),"Merchant not found")</f>
        <v>bill_payment</v>
      </c>
      <c r="K245" t="str">
        <f>IFERROR(VLOOKUP(C245,Merchants!$A$2:$D$41,4,FALSE), "Merchant Not Fount")</f>
        <v>East</v>
      </c>
      <c r="L245" s="2">
        <f>HLOOKUP(F245,HLOOKUP_Reference!$A$1:$E$2,2,FALSE)</f>
        <v>1.4999999999999999E-2</v>
      </c>
      <c r="M245">
        <f>SUMIFS(Daily_Merchant_Pivot!$E:$E,Daily_Merchant_Pivot!$A:$A,C245,Daily_Merchant_Pivot!$D:$D,INT(D245))</f>
        <v>49</v>
      </c>
      <c r="N245" t="str">
        <f t="shared" si="6"/>
        <v>Normal Merchant Day</v>
      </c>
      <c r="O245" s="7">
        <f t="shared" si="7"/>
        <v>46043</v>
      </c>
    </row>
    <row r="246" spans="1:15" x14ac:dyDescent="0.3">
      <c r="A246" t="s">
        <v>259</v>
      </c>
      <c r="B246">
        <v>53</v>
      </c>
      <c r="C246">
        <v>22</v>
      </c>
      <c r="D246" s="1">
        <v>46027.061111111114</v>
      </c>
      <c r="E246">
        <v>299</v>
      </c>
      <c r="F246" t="s">
        <v>12</v>
      </c>
      <c r="G246" t="s">
        <v>10</v>
      </c>
      <c r="H246">
        <v>91</v>
      </c>
      <c r="I246" t="str">
        <f>IFERROR(VLOOKUP(C246,Merchants!$A$2:$D$41,2,FALSE),"Merchant not found")</f>
        <v>Merchant_022</v>
      </c>
      <c r="J246" t="str">
        <f>IFERROR(VLOOKUP(C246,Merchants!$A$2:$D$41,3,FALSE),"Merchant not found")</f>
        <v>travel</v>
      </c>
      <c r="K246" t="str">
        <f>IFERROR(VLOOKUP(C246,Merchants!$A$2:$D$41,4,FALSE), "Merchant Not Fount")</f>
        <v>South</v>
      </c>
      <c r="L246" s="2">
        <f>HLOOKUP(F246,HLOOKUP_Reference!$A$1:$E$2,2,FALSE)</f>
        <v>2E-3</v>
      </c>
      <c r="M246">
        <f>SUMIFS(Daily_Merchant_Pivot!$E:$E,Daily_Merchant_Pivot!$A:$A,C246,Daily_Merchant_Pivot!$D:$D,INT(D246))</f>
        <v>448</v>
      </c>
      <c r="N246" t="str">
        <f t="shared" si="6"/>
        <v>Normal Merchant Day</v>
      </c>
      <c r="O246" s="7">
        <f t="shared" si="7"/>
        <v>46027</v>
      </c>
    </row>
    <row r="247" spans="1:15" x14ac:dyDescent="0.3">
      <c r="A247" t="s">
        <v>260</v>
      </c>
      <c r="B247">
        <v>89</v>
      </c>
      <c r="C247">
        <v>3</v>
      </c>
      <c r="D247" s="1">
        <v>46025.695138888892</v>
      </c>
      <c r="E247">
        <v>149</v>
      </c>
      <c r="F247" t="s">
        <v>24</v>
      </c>
      <c r="G247" t="s">
        <v>10</v>
      </c>
      <c r="H247">
        <v>31</v>
      </c>
      <c r="I247" t="str">
        <f>IFERROR(VLOOKUP(C247,Merchants!$A$2:$D$41,2,FALSE),"Merchant not found")</f>
        <v>Merchant_003</v>
      </c>
      <c r="J247" t="str">
        <f>IFERROR(VLOOKUP(C247,Merchants!$A$2:$D$41,3,FALSE),"Merchant not found")</f>
        <v>grocery</v>
      </c>
      <c r="K247" t="str">
        <f>IFERROR(VLOOKUP(C247,Merchants!$A$2:$D$41,4,FALSE), "Merchant Not Fount")</f>
        <v>East</v>
      </c>
      <c r="L247" s="2">
        <f>HLOOKUP(F247,HLOOKUP_Reference!$A$1:$E$2,2,FALSE)</f>
        <v>1.4999999999999999E-2</v>
      </c>
      <c r="M247">
        <f>SUMIFS(Daily_Merchant_Pivot!$E:$E,Daily_Merchant_Pivot!$A:$A,C247,Daily_Merchant_Pivot!$D:$D,INT(D247))</f>
        <v>198</v>
      </c>
      <c r="N247" t="str">
        <f t="shared" si="6"/>
        <v>Normal Merchant Day</v>
      </c>
      <c r="O247" s="7">
        <f t="shared" si="7"/>
        <v>46025</v>
      </c>
    </row>
    <row r="248" spans="1:15" x14ac:dyDescent="0.3">
      <c r="A248" t="s">
        <v>261</v>
      </c>
      <c r="B248">
        <v>269</v>
      </c>
      <c r="C248">
        <v>34</v>
      </c>
      <c r="D248" s="1">
        <v>46045.602777777778</v>
      </c>
      <c r="E248">
        <v>149</v>
      </c>
      <c r="F248" t="s">
        <v>12</v>
      </c>
      <c r="G248" t="s">
        <v>10</v>
      </c>
      <c r="H248">
        <v>78</v>
      </c>
      <c r="I248" t="str">
        <f>IFERROR(VLOOKUP(C248,Merchants!$A$2:$D$41,2,FALSE),"Merchant not found")</f>
        <v>Merchant_034</v>
      </c>
      <c r="J248" t="str">
        <f>IFERROR(VLOOKUP(C248,Merchants!$A$2:$D$41,3,FALSE),"Merchant not found")</f>
        <v>travel</v>
      </c>
      <c r="K248" t="str">
        <f>IFERROR(VLOOKUP(C248,Merchants!$A$2:$D$41,4,FALSE), "Merchant Not Fount")</f>
        <v>South</v>
      </c>
      <c r="L248" s="2">
        <f>HLOOKUP(F248,HLOOKUP_Reference!$A$1:$E$2,2,FALSE)</f>
        <v>2E-3</v>
      </c>
      <c r="M248">
        <f>SUMIFS(Daily_Merchant_Pivot!$E:$E,Daily_Merchant_Pivot!$A:$A,C248,Daily_Merchant_Pivot!$D:$D,INT(D248))</f>
        <v>3148</v>
      </c>
      <c r="N248" t="str">
        <f t="shared" si="6"/>
        <v>Normal Merchant Day</v>
      </c>
      <c r="O248" s="7">
        <f t="shared" si="7"/>
        <v>46045</v>
      </c>
    </row>
    <row r="249" spans="1:15" x14ac:dyDescent="0.3">
      <c r="A249" t="s">
        <v>262</v>
      </c>
      <c r="B249">
        <v>145</v>
      </c>
      <c r="C249">
        <v>25</v>
      </c>
      <c r="D249" s="1">
        <v>46028.474305555559</v>
      </c>
      <c r="E249">
        <v>799</v>
      </c>
      <c r="F249" t="s">
        <v>12</v>
      </c>
      <c r="G249" t="s">
        <v>10</v>
      </c>
      <c r="H249">
        <v>52</v>
      </c>
      <c r="I249" t="str">
        <f>IFERROR(VLOOKUP(C249,Merchants!$A$2:$D$41,2,FALSE),"Merchant not found")</f>
        <v>Merchant_025</v>
      </c>
      <c r="J249" t="str">
        <f>IFERROR(VLOOKUP(C249,Merchants!$A$2:$D$41,3,FALSE),"Merchant not found")</f>
        <v>travel</v>
      </c>
      <c r="K249" t="str">
        <f>IFERROR(VLOOKUP(C249,Merchants!$A$2:$D$41,4,FALSE), "Merchant Not Fount")</f>
        <v>South</v>
      </c>
      <c r="L249" s="2">
        <f>HLOOKUP(F249,HLOOKUP_Reference!$A$1:$E$2,2,FALSE)</f>
        <v>2E-3</v>
      </c>
      <c r="M249">
        <f>SUMIFS(Daily_Merchant_Pivot!$E:$E,Daily_Merchant_Pivot!$A:$A,C249,Daily_Merchant_Pivot!$D:$D,INT(D249))</f>
        <v>898</v>
      </c>
      <c r="N249" t="str">
        <f t="shared" si="6"/>
        <v>Normal Merchant Day</v>
      </c>
      <c r="O249" s="7">
        <f t="shared" si="7"/>
        <v>46028</v>
      </c>
    </row>
    <row r="250" spans="1:15" x14ac:dyDescent="0.3">
      <c r="A250" t="s">
        <v>263</v>
      </c>
      <c r="B250">
        <v>307</v>
      </c>
      <c r="C250">
        <v>4</v>
      </c>
      <c r="D250" s="1">
        <v>46047.446527777778</v>
      </c>
      <c r="E250">
        <v>1499</v>
      </c>
      <c r="F250" t="s">
        <v>12</v>
      </c>
      <c r="G250" t="s">
        <v>10</v>
      </c>
      <c r="H250">
        <v>80</v>
      </c>
      <c r="I250" t="str">
        <f>IFERROR(VLOOKUP(C250,Merchants!$A$2:$D$41,2,FALSE),"Merchant not found")</f>
        <v>Merchant_004</v>
      </c>
      <c r="J250" t="str">
        <f>IFERROR(VLOOKUP(C250,Merchants!$A$2:$D$41,3,FALSE),"Merchant not found")</f>
        <v>ecommerce</v>
      </c>
      <c r="K250" t="str">
        <f>IFERROR(VLOOKUP(C250,Merchants!$A$2:$D$41,4,FALSE), "Merchant Not Fount")</f>
        <v>East</v>
      </c>
      <c r="L250" s="2">
        <f>HLOOKUP(F250,HLOOKUP_Reference!$A$1:$E$2,2,FALSE)</f>
        <v>2E-3</v>
      </c>
      <c r="M250">
        <f>SUMIFS(Daily_Merchant_Pivot!$E:$E,Daily_Merchant_Pivot!$A:$A,C250,Daily_Merchant_Pivot!$D:$D,INT(D250))</f>
        <v>1998</v>
      </c>
      <c r="N250" t="str">
        <f t="shared" si="6"/>
        <v>Normal Merchant Day</v>
      </c>
      <c r="O250" s="7">
        <f t="shared" si="7"/>
        <v>46047</v>
      </c>
    </row>
    <row r="251" spans="1:15" x14ac:dyDescent="0.3">
      <c r="A251" t="s">
        <v>264</v>
      </c>
      <c r="B251">
        <v>169</v>
      </c>
      <c r="C251">
        <v>7</v>
      </c>
      <c r="D251" s="1">
        <v>46043.419444444444</v>
      </c>
      <c r="E251">
        <v>1499</v>
      </c>
      <c r="F251" t="s">
        <v>9</v>
      </c>
      <c r="G251" t="s">
        <v>10</v>
      </c>
      <c r="H251">
        <v>71</v>
      </c>
      <c r="I251" t="str">
        <f>IFERROR(VLOOKUP(C251,Merchants!$A$2:$D$41,2,FALSE),"Merchant not found")</f>
        <v>Merchant_007</v>
      </c>
      <c r="J251" t="str">
        <f>IFERROR(VLOOKUP(C251,Merchants!$A$2:$D$41,3,FALSE),"Merchant not found")</f>
        <v>food_delivery</v>
      </c>
      <c r="K251" t="str">
        <f>IFERROR(VLOOKUP(C251,Merchants!$A$2:$D$41,4,FALSE), "Merchant Not Fount")</f>
        <v>East</v>
      </c>
      <c r="L251" s="2">
        <f>HLOOKUP(F251,HLOOKUP_Reference!$A$1:$E$2,2,FALSE)</f>
        <v>6.4999999999999997E-3</v>
      </c>
      <c r="M251">
        <f>SUMIFS(Daily_Merchant_Pivot!$E:$E,Daily_Merchant_Pivot!$A:$A,C251,Daily_Merchant_Pivot!$D:$D,INT(D251))</f>
        <v>1499</v>
      </c>
      <c r="N251" t="str">
        <f t="shared" si="6"/>
        <v>Normal Merchant Day</v>
      </c>
      <c r="O251" s="7">
        <f t="shared" si="7"/>
        <v>46043</v>
      </c>
    </row>
    <row r="252" spans="1:15" x14ac:dyDescent="0.3">
      <c r="A252" t="s">
        <v>265</v>
      </c>
      <c r="B252">
        <v>130</v>
      </c>
      <c r="C252">
        <v>39</v>
      </c>
      <c r="D252" s="1">
        <v>46044.512499999997</v>
      </c>
      <c r="E252">
        <v>2999</v>
      </c>
      <c r="F252" t="s">
        <v>9</v>
      </c>
      <c r="G252" t="s">
        <v>10</v>
      </c>
      <c r="H252">
        <v>19</v>
      </c>
      <c r="I252" t="str">
        <f>IFERROR(VLOOKUP(C252,Merchants!$A$2:$D$41,2,FALSE),"Merchant not found")</f>
        <v>Merchant_039</v>
      </c>
      <c r="J252" t="str">
        <f>IFERROR(VLOOKUP(C252,Merchants!$A$2:$D$41,3,FALSE),"Merchant not found")</f>
        <v>entertainment</v>
      </c>
      <c r="K252" t="str">
        <f>IFERROR(VLOOKUP(C252,Merchants!$A$2:$D$41,4,FALSE), "Merchant Not Fount")</f>
        <v>North</v>
      </c>
      <c r="L252" s="2">
        <f>HLOOKUP(F252,HLOOKUP_Reference!$A$1:$E$2,2,FALSE)</f>
        <v>6.4999999999999997E-3</v>
      </c>
      <c r="M252">
        <f>SUMIFS(Daily_Merchant_Pivot!$E:$E,Daily_Merchant_Pivot!$A:$A,C252,Daily_Merchant_Pivot!$D:$D,INT(D252))</f>
        <v>9796</v>
      </c>
      <c r="N252" t="str">
        <f t="shared" si="6"/>
        <v>High-Value Merchant Day</v>
      </c>
      <c r="O252" s="7">
        <f t="shared" si="7"/>
        <v>46044</v>
      </c>
    </row>
    <row r="253" spans="1:15" x14ac:dyDescent="0.3">
      <c r="A253" t="s">
        <v>266</v>
      </c>
      <c r="B253">
        <v>340</v>
      </c>
      <c r="C253">
        <v>10</v>
      </c>
      <c r="D253" s="1">
        <v>46033.109027777777</v>
      </c>
      <c r="E253">
        <v>49</v>
      </c>
      <c r="F253" t="s">
        <v>24</v>
      </c>
      <c r="G253" t="s">
        <v>10</v>
      </c>
      <c r="H253">
        <v>44</v>
      </c>
      <c r="I253" t="str">
        <f>IFERROR(VLOOKUP(C253,Merchants!$A$2:$D$41,2,FALSE),"Merchant not found")</f>
        <v>Merchant_010</v>
      </c>
      <c r="J253" t="str">
        <f>IFERROR(VLOOKUP(C253,Merchants!$A$2:$D$41,3,FALSE),"Merchant not found")</f>
        <v>grocery</v>
      </c>
      <c r="K253" t="str">
        <f>IFERROR(VLOOKUP(C253,Merchants!$A$2:$D$41,4,FALSE), "Merchant Not Fount")</f>
        <v>West</v>
      </c>
      <c r="L253" s="2">
        <f>HLOOKUP(F253,HLOOKUP_Reference!$A$1:$E$2,2,FALSE)</f>
        <v>1.4999999999999999E-2</v>
      </c>
      <c r="M253">
        <f>SUMIFS(Daily_Merchant_Pivot!$E:$E,Daily_Merchant_Pivot!$A:$A,C253,Daily_Merchant_Pivot!$D:$D,INT(D253))</f>
        <v>98</v>
      </c>
      <c r="N253" t="str">
        <f t="shared" si="6"/>
        <v>Normal Merchant Day</v>
      </c>
      <c r="O253" s="7">
        <f t="shared" si="7"/>
        <v>46033</v>
      </c>
    </row>
    <row r="254" spans="1:15" x14ac:dyDescent="0.3">
      <c r="A254" t="s">
        <v>267</v>
      </c>
      <c r="B254">
        <v>340</v>
      </c>
      <c r="C254">
        <v>26</v>
      </c>
      <c r="D254" s="1">
        <v>46032.863888888889</v>
      </c>
      <c r="E254">
        <v>299</v>
      </c>
      <c r="F254" t="s">
        <v>24</v>
      </c>
      <c r="G254" t="s">
        <v>10</v>
      </c>
      <c r="H254">
        <v>16</v>
      </c>
      <c r="I254" t="str">
        <f>IFERROR(VLOOKUP(C254,Merchants!$A$2:$D$41,2,FALSE),"Merchant not found")</f>
        <v>Merchant_026</v>
      </c>
      <c r="J254" t="str">
        <f>IFERROR(VLOOKUP(C254,Merchants!$A$2:$D$41,3,FALSE),"Merchant not found")</f>
        <v>food_delivery</v>
      </c>
      <c r="K254" t="str">
        <f>IFERROR(VLOOKUP(C254,Merchants!$A$2:$D$41,4,FALSE), "Merchant Not Fount")</f>
        <v>East</v>
      </c>
      <c r="L254" s="2">
        <f>HLOOKUP(F254,HLOOKUP_Reference!$A$1:$E$2,2,FALSE)</f>
        <v>1.4999999999999999E-2</v>
      </c>
      <c r="M254">
        <f>SUMIFS(Daily_Merchant_Pivot!$E:$E,Daily_Merchant_Pivot!$A:$A,C254,Daily_Merchant_Pivot!$D:$D,INT(D254))</f>
        <v>299</v>
      </c>
      <c r="N254" t="str">
        <f t="shared" si="6"/>
        <v>Normal Merchant Day</v>
      </c>
      <c r="O254" s="7">
        <f t="shared" si="7"/>
        <v>46032</v>
      </c>
    </row>
    <row r="255" spans="1:15" x14ac:dyDescent="0.3">
      <c r="A255" t="s">
        <v>268</v>
      </c>
      <c r="B255">
        <v>159</v>
      </c>
      <c r="C255">
        <v>36</v>
      </c>
      <c r="D255" s="1">
        <v>46042.920138888891</v>
      </c>
      <c r="E255">
        <v>49</v>
      </c>
      <c r="F255" t="s">
        <v>12</v>
      </c>
      <c r="G255" t="s">
        <v>10</v>
      </c>
      <c r="H255">
        <v>48</v>
      </c>
      <c r="I255" t="str">
        <f>IFERROR(VLOOKUP(C255,Merchants!$A$2:$D$41,2,FALSE),"Merchant not found")</f>
        <v>Merchant_036</v>
      </c>
      <c r="J255" t="str">
        <f>IFERROR(VLOOKUP(C255,Merchants!$A$2:$D$41,3,FALSE),"Merchant not found")</f>
        <v>entertainment</v>
      </c>
      <c r="K255" t="str">
        <f>IFERROR(VLOOKUP(C255,Merchants!$A$2:$D$41,4,FALSE), "Merchant Not Fount")</f>
        <v>East</v>
      </c>
      <c r="L255" s="2">
        <f>HLOOKUP(F255,HLOOKUP_Reference!$A$1:$E$2,2,FALSE)</f>
        <v>2E-3</v>
      </c>
      <c r="M255">
        <f>SUMIFS(Daily_Merchant_Pivot!$E:$E,Daily_Merchant_Pivot!$A:$A,C255,Daily_Merchant_Pivot!$D:$D,INT(D255))</f>
        <v>49</v>
      </c>
      <c r="N255" t="str">
        <f t="shared" si="6"/>
        <v>Normal Merchant Day</v>
      </c>
      <c r="O255" s="7">
        <f t="shared" si="7"/>
        <v>46042</v>
      </c>
    </row>
    <row r="256" spans="1:15" x14ac:dyDescent="0.3">
      <c r="A256" t="s">
        <v>269</v>
      </c>
      <c r="B256">
        <v>66</v>
      </c>
      <c r="C256">
        <v>34</v>
      </c>
      <c r="D256" s="1">
        <v>46043.452777777777</v>
      </c>
      <c r="E256">
        <v>799</v>
      </c>
      <c r="F256" t="s">
        <v>12</v>
      </c>
      <c r="G256" t="s">
        <v>10</v>
      </c>
      <c r="H256">
        <v>11</v>
      </c>
      <c r="I256" t="str">
        <f>IFERROR(VLOOKUP(C256,Merchants!$A$2:$D$41,2,FALSE),"Merchant not found")</f>
        <v>Merchant_034</v>
      </c>
      <c r="J256" t="str">
        <f>IFERROR(VLOOKUP(C256,Merchants!$A$2:$D$41,3,FALSE),"Merchant not found")</f>
        <v>travel</v>
      </c>
      <c r="K256" t="str">
        <f>IFERROR(VLOOKUP(C256,Merchants!$A$2:$D$41,4,FALSE), "Merchant Not Fount")</f>
        <v>South</v>
      </c>
      <c r="L256" s="2">
        <f>HLOOKUP(F256,HLOOKUP_Reference!$A$1:$E$2,2,FALSE)</f>
        <v>2E-3</v>
      </c>
      <c r="M256">
        <f>SUMIFS(Daily_Merchant_Pivot!$E:$E,Daily_Merchant_Pivot!$A:$A,C256,Daily_Merchant_Pivot!$D:$D,INT(D256))</f>
        <v>799</v>
      </c>
      <c r="N256" t="str">
        <f t="shared" si="6"/>
        <v>Normal Merchant Day</v>
      </c>
      <c r="O256" s="7">
        <f t="shared" si="7"/>
        <v>46043</v>
      </c>
    </row>
    <row r="257" spans="1:15" x14ac:dyDescent="0.3">
      <c r="A257" t="s">
        <v>270</v>
      </c>
      <c r="B257">
        <v>261</v>
      </c>
      <c r="C257">
        <v>24</v>
      </c>
      <c r="D257" s="1">
        <v>46043.893750000003</v>
      </c>
      <c r="E257">
        <v>799</v>
      </c>
      <c r="F257" t="s">
        <v>24</v>
      </c>
      <c r="G257" t="s">
        <v>10</v>
      </c>
      <c r="H257">
        <v>2</v>
      </c>
      <c r="I257" t="str">
        <f>IFERROR(VLOOKUP(C257,Merchants!$A$2:$D$41,2,FALSE),"Merchant not found")</f>
        <v>Merchant_024</v>
      </c>
      <c r="J257" t="str">
        <f>IFERROR(VLOOKUP(C257,Merchants!$A$2:$D$41,3,FALSE),"Merchant not found")</f>
        <v>grocery</v>
      </c>
      <c r="K257" t="str">
        <f>IFERROR(VLOOKUP(C257,Merchants!$A$2:$D$41,4,FALSE), "Merchant Not Fount")</f>
        <v>North</v>
      </c>
      <c r="L257" s="2">
        <f>HLOOKUP(F257,HLOOKUP_Reference!$A$1:$E$2,2,FALSE)</f>
        <v>1.4999999999999999E-2</v>
      </c>
      <c r="M257">
        <f>SUMIFS(Daily_Merchant_Pivot!$E:$E,Daily_Merchant_Pivot!$A:$A,C257,Daily_Merchant_Pivot!$D:$D,INT(D257))</f>
        <v>799</v>
      </c>
      <c r="N257" t="str">
        <f t="shared" si="6"/>
        <v>Normal Merchant Day</v>
      </c>
      <c r="O257" s="7">
        <f t="shared" si="7"/>
        <v>46043</v>
      </c>
    </row>
    <row r="258" spans="1:15" x14ac:dyDescent="0.3">
      <c r="A258" t="s">
        <v>271</v>
      </c>
      <c r="B258">
        <v>110</v>
      </c>
      <c r="C258">
        <v>22</v>
      </c>
      <c r="D258" s="1">
        <v>46034.382638888892</v>
      </c>
      <c r="E258">
        <v>799</v>
      </c>
      <c r="F258" t="s">
        <v>12</v>
      </c>
      <c r="G258" t="s">
        <v>10</v>
      </c>
      <c r="H258">
        <v>98</v>
      </c>
      <c r="I258" t="str">
        <f>IFERROR(VLOOKUP(C258,Merchants!$A$2:$D$41,2,FALSE),"Merchant not found")</f>
        <v>Merchant_022</v>
      </c>
      <c r="J258" t="str">
        <f>IFERROR(VLOOKUP(C258,Merchants!$A$2:$D$41,3,FALSE),"Merchant not found")</f>
        <v>travel</v>
      </c>
      <c r="K258" t="str">
        <f>IFERROR(VLOOKUP(C258,Merchants!$A$2:$D$41,4,FALSE), "Merchant Not Fount")</f>
        <v>South</v>
      </c>
      <c r="L258" s="2">
        <f>HLOOKUP(F258,HLOOKUP_Reference!$A$1:$E$2,2,FALSE)</f>
        <v>2E-3</v>
      </c>
      <c r="M258">
        <f>SUMIFS(Daily_Merchant_Pivot!$E:$E,Daily_Merchant_Pivot!$A:$A,C258,Daily_Merchant_Pivot!$D:$D,INT(D258))</f>
        <v>1697</v>
      </c>
      <c r="N258" t="str">
        <f t="shared" si="6"/>
        <v>Normal Merchant Day</v>
      </c>
      <c r="O258" s="7">
        <f t="shared" si="7"/>
        <v>46034</v>
      </c>
    </row>
    <row r="259" spans="1:15" x14ac:dyDescent="0.3">
      <c r="A259" t="s">
        <v>272</v>
      </c>
      <c r="B259">
        <v>71</v>
      </c>
      <c r="C259">
        <v>10</v>
      </c>
      <c r="D259" s="1">
        <v>46038.259722222225</v>
      </c>
      <c r="E259">
        <v>49</v>
      </c>
      <c r="F259" t="s">
        <v>12</v>
      </c>
      <c r="G259" t="s">
        <v>10</v>
      </c>
      <c r="H259">
        <v>9</v>
      </c>
      <c r="I259" t="str">
        <f>IFERROR(VLOOKUP(C259,Merchants!$A$2:$D$41,2,FALSE),"Merchant not found")</f>
        <v>Merchant_010</v>
      </c>
      <c r="J259" t="str">
        <f>IFERROR(VLOOKUP(C259,Merchants!$A$2:$D$41,3,FALSE),"Merchant not found")</f>
        <v>grocery</v>
      </c>
      <c r="K259" t="str">
        <f>IFERROR(VLOOKUP(C259,Merchants!$A$2:$D$41,4,FALSE), "Merchant Not Fount")</f>
        <v>West</v>
      </c>
      <c r="L259" s="2">
        <f>HLOOKUP(F259,HLOOKUP_Reference!$A$1:$E$2,2,FALSE)</f>
        <v>2E-3</v>
      </c>
      <c r="M259">
        <f>SUMIFS(Daily_Merchant_Pivot!$E:$E,Daily_Merchant_Pivot!$A:$A,C259,Daily_Merchant_Pivot!$D:$D,INT(D259))</f>
        <v>49</v>
      </c>
      <c r="N259" t="str">
        <f t="shared" ref="N259:N322" si="8">IF(AND(M259&gt;5000,K259&lt;&gt;"East"),"High-Value Merchant Day","Normal Merchant Day")</f>
        <v>Normal Merchant Day</v>
      </c>
      <c r="O259" s="7">
        <f t="shared" ref="O259:O322" si="9">INT(D259)</f>
        <v>46038</v>
      </c>
    </row>
    <row r="260" spans="1:15" x14ac:dyDescent="0.3">
      <c r="A260" t="s">
        <v>273</v>
      </c>
      <c r="B260">
        <v>277</v>
      </c>
      <c r="C260">
        <v>34</v>
      </c>
      <c r="D260" s="1">
        <v>46032.147222222222</v>
      </c>
      <c r="E260">
        <v>49</v>
      </c>
      <c r="F260" t="s">
        <v>12</v>
      </c>
      <c r="G260" t="s">
        <v>10</v>
      </c>
      <c r="H260">
        <v>4</v>
      </c>
      <c r="I260" t="str">
        <f>IFERROR(VLOOKUP(C260,Merchants!$A$2:$D$41,2,FALSE),"Merchant not found")</f>
        <v>Merchant_034</v>
      </c>
      <c r="J260" t="str">
        <f>IFERROR(VLOOKUP(C260,Merchants!$A$2:$D$41,3,FALSE),"Merchant not found")</f>
        <v>travel</v>
      </c>
      <c r="K260" t="str">
        <f>IFERROR(VLOOKUP(C260,Merchants!$A$2:$D$41,4,FALSE), "Merchant Not Fount")</f>
        <v>South</v>
      </c>
      <c r="L260" s="2">
        <f>HLOOKUP(F260,HLOOKUP_Reference!$A$1:$E$2,2,FALSE)</f>
        <v>2E-3</v>
      </c>
      <c r="M260">
        <f>SUMIFS(Daily_Merchant_Pivot!$E:$E,Daily_Merchant_Pivot!$A:$A,C260,Daily_Merchant_Pivot!$D:$D,INT(D260))</f>
        <v>49</v>
      </c>
      <c r="N260" t="str">
        <f t="shared" si="8"/>
        <v>Normal Merchant Day</v>
      </c>
      <c r="O260" s="7">
        <f t="shared" si="9"/>
        <v>46032</v>
      </c>
    </row>
    <row r="261" spans="1:15" x14ac:dyDescent="0.3">
      <c r="A261" t="s">
        <v>274</v>
      </c>
      <c r="B261">
        <v>317</v>
      </c>
      <c r="C261">
        <v>9</v>
      </c>
      <c r="D261" s="1">
        <v>46044.455555555556</v>
      </c>
      <c r="E261">
        <v>499</v>
      </c>
      <c r="F261" t="s">
        <v>9</v>
      </c>
      <c r="G261" t="s">
        <v>10</v>
      </c>
      <c r="H261">
        <v>76</v>
      </c>
      <c r="I261" t="str">
        <f>IFERROR(VLOOKUP(C261,Merchants!$A$2:$D$41,2,FALSE),"Merchant not found")</f>
        <v>Merchant_009</v>
      </c>
      <c r="J261" t="str">
        <f>IFERROR(VLOOKUP(C261,Merchants!$A$2:$D$41,3,FALSE),"Merchant not found")</f>
        <v>ecommerce</v>
      </c>
      <c r="K261" t="str">
        <f>IFERROR(VLOOKUP(C261,Merchants!$A$2:$D$41,4,FALSE), "Merchant Not Fount")</f>
        <v>North</v>
      </c>
      <c r="L261" s="2">
        <f>HLOOKUP(F261,HLOOKUP_Reference!$A$1:$E$2,2,FALSE)</f>
        <v>6.4999999999999997E-3</v>
      </c>
      <c r="M261">
        <f>SUMIFS(Daily_Merchant_Pivot!$E:$E,Daily_Merchant_Pivot!$A:$A,C261,Daily_Merchant_Pivot!$D:$D,INT(D261))</f>
        <v>1298</v>
      </c>
      <c r="N261" t="str">
        <f t="shared" si="8"/>
        <v>Normal Merchant Day</v>
      </c>
      <c r="O261" s="7">
        <f t="shared" si="9"/>
        <v>46044</v>
      </c>
    </row>
    <row r="262" spans="1:15" x14ac:dyDescent="0.3">
      <c r="A262" t="s">
        <v>275</v>
      </c>
      <c r="B262">
        <v>93</v>
      </c>
      <c r="C262">
        <v>40</v>
      </c>
      <c r="D262" s="1">
        <v>46035.173611111109</v>
      </c>
      <c r="E262">
        <v>299</v>
      </c>
      <c r="F262" t="s">
        <v>12</v>
      </c>
      <c r="G262" t="s">
        <v>10</v>
      </c>
      <c r="H262">
        <v>21</v>
      </c>
      <c r="I262" t="str">
        <f>IFERROR(VLOOKUP(C262,Merchants!$A$2:$D$41,2,FALSE),"Merchant not found")</f>
        <v>Merchant_040</v>
      </c>
      <c r="J262" t="str">
        <f>IFERROR(VLOOKUP(C262,Merchants!$A$2:$D$41,3,FALSE),"Merchant not found")</f>
        <v>entertainment</v>
      </c>
      <c r="K262" t="str">
        <f>IFERROR(VLOOKUP(C262,Merchants!$A$2:$D$41,4,FALSE), "Merchant Not Fount")</f>
        <v>South</v>
      </c>
      <c r="L262" s="2">
        <f>HLOOKUP(F262,HLOOKUP_Reference!$A$1:$E$2,2,FALSE)</f>
        <v>2E-3</v>
      </c>
      <c r="M262">
        <f>SUMIFS(Daily_Merchant_Pivot!$E:$E,Daily_Merchant_Pivot!$A:$A,C262,Daily_Merchant_Pivot!$D:$D,INT(D262))</f>
        <v>299</v>
      </c>
      <c r="N262" t="str">
        <f t="shared" si="8"/>
        <v>Normal Merchant Day</v>
      </c>
      <c r="O262" s="7">
        <f t="shared" si="9"/>
        <v>46035</v>
      </c>
    </row>
    <row r="263" spans="1:15" x14ac:dyDescent="0.3">
      <c r="A263" t="s">
        <v>276</v>
      </c>
      <c r="B263">
        <v>211</v>
      </c>
      <c r="C263">
        <v>24</v>
      </c>
      <c r="D263" s="1">
        <v>46046.584722222222</v>
      </c>
      <c r="E263">
        <v>99</v>
      </c>
      <c r="F263" t="s">
        <v>15</v>
      </c>
      <c r="G263" t="s">
        <v>10</v>
      </c>
      <c r="H263">
        <v>86</v>
      </c>
      <c r="I263" t="str">
        <f>IFERROR(VLOOKUP(C263,Merchants!$A$2:$D$41,2,FALSE),"Merchant not found")</f>
        <v>Merchant_024</v>
      </c>
      <c r="J263" t="str">
        <f>IFERROR(VLOOKUP(C263,Merchants!$A$2:$D$41,3,FALSE),"Merchant not found")</f>
        <v>grocery</v>
      </c>
      <c r="K263" t="str">
        <f>IFERROR(VLOOKUP(C263,Merchants!$A$2:$D$41,4,FALSE), "Merchant Not Fount")</f>
        <v>North</v>
      </c>
      <c r="L263" s="2">
        <f>HLOOKUP(F263,HLOOKUP_Reference!$A$1:$E$2,2,FALSE)</f>
        <v>0.01</v>
      </c>
      <c r="M263">
        <f>SUMIFS(Daily_Merchant_Pivot!$E:$E,Daily_Merchant_Pivot!$A:$A,C263,Daily_Merchant_Pivot!$D:$D,INT(D263))</f>
        <v>148</v>
      </c>
      <c r="N263" t="str">
        <f t="shared" si="8"/>
        <v>Normal Merchant Day</v>
      </c>
      <c r="O263" s="7">
        <f t="shared" si="9"/>
        <v>46046</v>
      </c>
    </row>
    <row r="264" spans="1:15" x14ac:dyDescent="0.3">
      <c r="A264" t="s">
        <v>277</v>
      </c>
      <c r="B264">
        <v>313</v>
      </c>
      <c r="C264">
        <v>19</v>
      </c>
      <c r="D264" s="1">
        <v>46046.311111111114</v>
      </c>
      <c r="E264">
        <v>149</v>
      </c>
      <c r="F264" t="s">
        <v>12</v>
      </c>
      <c r="G264" t="s">
        <v>10</v>
      </c>
      <c r="H264">
        <v>96</v>
      </c>
      <c r="I264" t="str">
        <f>IFERROR(VLOOKUP(C264,Merchants!$A$2:$D$41,2,FALSE),"Merchant not found")</f>
        <v>Merchant_019</v>
      </c>
      <c r="J264" t="str">
        <f>IFERROR(VLOOKUP(C264,Merchants!$A$2:$D$41,3,FALSE),"Merchant not found")</f>
        <v>grocery</v>
      </c>
      <c r="K264" t="str">
        <f>IFERROR(VLOOKUP(C264,Merchants!$A$2:$D$41,4,FALSE), "Merchant Not Fount")</f>
        <v>North</v>
      </c>
      <c r="L264" s="2">
        <f>HLOOKUP(F264,HLOOKUP_Reference!$A$1:$E$2,2,FALSE)</f>
        <v>2E-3</v>
      </c>
      <c r="M264">
        <f>SUMIFS(Daily_Merchant_Pivot!$E:$E,Daily_Merchant_Pivot!$A:$A,C264,Daily_Merchant_Pivot!$D:$D,INT(D264))</f>
        <v>149</v>
      </c>
      <c r="N264" t="str">
        <f t="shared" si="8"/>
        <v>Normal Merchant Day</v>
      </c>
      <c r="O264" s="7">
        <f t="shared" si="9"/>
        <v>46046</v>
      </c>
    </row>
    <row r="265" spans="1:15" x14ac:dyDescent="0.3">
      <c r="A265" t="s">
        <v>278</v>
      </c>
      <c r="B265">
        <v>274</v>
      </c>
      <c r="C265">
        <v>16</v>
      </c>
      <c r="D265" s="1">
        <v>46046.593055555553</v>
      </c>
      <c r="E265">
        <v>49</v>
      </c>
      <c r="F265" t="s">
        <v>9</v>
      </c>
      <c r="G265" t="s">
        <v>25</v>
      </c>
      <c r="H265">
        <v>39</v>
      </c>
      <c r="I265" t="str">
        <f>IFERROR(VLOOKUP(C265,Merchants!$A$2:$D$41,2,FALSE),"Merchant not found")</f>
        <v>Merchant_016</v>
      </c>
      <c r="J265" t="str">
        <f>IFERROR(VLOOKUP(C265,Merchants!$A$2:$D$41,3,FALSE),"Merchant not found")</f>
        <v>bill_payment</v>
      </c>
      <c r="K265" t="str">
        <f>IFERROR(VLOOKUP(C265,Merchants!$A$2:$D$41,4,FALSE), "Merchant Not Fount")</f>
        <v>West</v>
      </c>
      <c r="L265" s="2">
        <f>HLOOKUP(F265,HLOOKUP_Reference!$A$1:$E$2,2,FALSE)</f>
        <v>6.4999999999999997E-3</v>
      </c>
      <c r="M265">
        <f>SUMIFS(Daily_Merchant_Pivot!$E:$E,Daily_Merchant_Pivot!$A:$A,C265,Daily_Merchant_Pivot!$D:$D,INT(D265))</f>
        <v>1548</v>
      </c>
      <c r="N265" t="str">
        <f t="shared" si="8"/>
        <v>Normal Merchant Day</v>
      </c>
      <c r="O265" s="7">
        <f t="shared" si="9"/>
        <v>46046</v>
      </c>
    </row>
    <row r="266" spans="1:15" x14ac:dyDescent="0.3">
      <c r="A266" t="s">
        <v>279</v>
      </c>
      <c r="B266">
        <v>100</v>
      </c>
      <c r="C266">
        <v>24</v>
      </c>
      <c r="D266" s="1">
        <v>46048.664583333331</v>
      </c>
      <c r="E266">
        <v>299</v>
      </c>
      <c r="F266" t="s">
        <v>12</v>
      </c>
      <c r="G266" t="s">
        <v>10</v>
      </c>
      <c r="H266">
        <v>86</v>
      </c>
      <c r="I266" t="str">
        <f>IFERROR(VLOOKUP(C266,Merchants!$A$2:$D$41,2,FALSE),"Merchant not found")</f>
        <v>Merchant_024</v>
      </c>
      <c r="J266" t="str">
        <f>IFERROR(VLOOKUP(C266,Merchants!$A$2:$D$41,3,FALSE),"Merchant not found")</f>
        <v>grocery</v>
      </c>
      <c r="K266" t="str">
        <f>IFERROR(VLOOKUP(C266,Merchants!$A$2:$D$41,4,FALSE), "Merchant Not Fount")</f>
        <v>North</v>
      </c>
      <c r="L266" s="2">
        <f>HLOOKUP(F266,HLOOKUP_Reference!$A$1:$E$2,2,FALSE)</f>
        <v>2E-3</v>
      </c>
      <c r="M266">
        <f>SUMIFS(Daily_Merchant_Pivot!$E:$E,Daily_Merchant_Pivot!$A:$A,C266,Daily_Merchant_Pivot!$D:$D,INT(D266))</f>
        <v>348</v>
      </c>
      <c r="N266" t="str">
        <f t="shared" si="8"/>
        <v>Normal Merchant Day</v>
      </c>
      <c r="O266" s="7">
        <f t="shared" si="9"/>
        <v>46048</v>
      </c>
    </row>
    <row r="267" spans="1:15" x14ac:dyDescent="0.3">
      <c r="A267" t="s">
        <v>280</v>
      </c>
      <c r="B267">
        <v>145</v>
      </c>
      <c r="C267">
        <v>25</v>
      </c>
      <c r="D267" s="1">
        <v>46041.603472222225</v>
      </c>
      <c r="E267">
        <v>2999</v>
      </c>
      <c r="F267" t="s">
        <v>9</v>
      </c>
      <c r="G267" t="s">
        <v>10</v>
      </c>
      <c r="H267">
        <v>64</v>
      </c>
      <c r="I267" t="str">
        <f>IFERROR(VLOOKUP(C267,Merchants!$A$2:$D$41,2,FALSE),"Merchant not found")</f>
        <v>Merchant_025</v>
      </c>
      <c r="J267" t="str">
        <f>IFERROR(VLOOKUP(C267,Merchants!$A$2:$D$41,3,FALSE),"Merchant not found")</f>
        <v>travel</v>
      </c>
      <c r="K267" t="str">
        <f>IFERROR(VLOOKUP(C267,Merchants!$A$2:$D$41,4,FALSE), "Merchant Not Fount")</f>
        <v>South</v>
      </c>
      <c r="L267" s="2">
        <f>HLOOKUP(F267,HLOOKUP_Reference!$A$1:$E$2,2,FALSE)</f>
        <v>6.4999999999999997E-3</v>
      </c>
      <c r="M267">
        <f>SUMIFS(Daily_Merchant_Pivot!$E:$E,Daily_Merchant_Pivot!$A:$A,C267,Daily_Merchant_Pivot!$D:$D,INT(D267))</f>
        <v>4498</v>
      </c>
      <c r="N267" t="str">
        <f t="shared" si="8"/>
        <v>Normal Merchant Day</v>
      </c>
      <c r="O267" s="7">
        <f t="shared" si="9"/>
        <v>46041</v>
      </c>
    </row>
    <row r="268" spans="1:15" x14ac:dyDescent="0.3">
      <c r="A268" t="s">
        <v>281</v>
      </c>
      <c r="B268">
        <v>103</v>
      </c>
      <c r="C268">
        <v>39</v>
      </c>
      <c r="D268" s="1">
        <v>46039.548611111109</v>
      </c>
      <c r="E268">
        <v>2999</v>
      </c>
      <c r="F268" t="s">
        <v>9</v>
      </c>
      <c r="G268" t="s">
        <v>10</v>
      </c>
      <c r="H268">
        <v>17</v>
      </c>
      <c r="I268" t="str">
        <f>IFERROR(VLOOKUP(C268,Merchants!$A$2:$D$41,2,FALSE),"Merchant not found")</f>
        <v>Merchant_039</v>
      </c>
      <c r="J268" t="str">
        <f>IFERROR(VLOOKUP(C268,Merchants!$A$2:$D$41,3,FALSE),"Merchant not found")</f>
        <v>entertainment</v>
      </c>
      <c r="K268" t="str">
        <f>IFERROR(VLOOKUP(C268,Merchants!$A$2:$D$41,4,FALSE), "Merchant Not Fount")</f>
        <v>North</v>
      </c>
      <c r="L268" s="2">
        <f>HLOOKUP(F268,HLOOKUP_Reference!$A$1:$E$2,2,FALSE)</f>
        <v>6.4999999999999997E-3</v>
      </c>
      <c r="M268">
        <f>SUMIFS(Daily_Merchant_Pivot!$E:$E,Daily_Merchant_Pivot!$A:$A,C268,Daily_Merchant_Pivot!$D:$D,INT(D268))</f>
        <v>2999</v>
      </c>
      <c r="N268" t="str">
        <f t="shared" si="8"/>
        <v>Normal Merchant Day</v>
      </c>
      <c r="O268" s="7">
        <f t="shared" si="9"/>
        <v>46039</v>
      </c>
    </row>
    <row r="269" spans="1:15" x14ac:dyDescent="0.3">
      <c r="A269" t="s">
        <v>282</v>
      </c>
      <c r="B269">
        <v>329</v>
      </c>
      <c r="C269">
        <v>31</v>
      </c>
      <c r="D269" s="1">
        <v>46050.335416666669</v>
      </c>
      <c r="E269">
        <v>299</v>
      </c>
      <c r="F269" t="s">
        <v>9</v>
      </c>
      <c r="G269" t="s">
        <v>10</v>
      </c>
      <c r="H269">
        <v>47</v>
      </c>
      <c r="I269" t="str">
        <f>IFERROR(VLOOKUP(C269,Merchants!$A$2:$D$41,2,FALSE),"Merchant not found")</f>
        <v>Merchant_031</v>
      </c>
      <c r="J269" t="str">
        <f>IFERROR(VLOOKUP(C269,Merchants!$A$2:$D$41,3,FALSE),"Merchant not found")</f>
        <v>bill_payment</v>
      </c>
      <c r="K269" t="str">
        <f>IFERROR(VLOOKUP(C269,Merchants!$A$2:$D$41,4,FALSE), "Merchant Not Fount")</f>
        <v>East</v>
      </c>
      <c r="L269" s="2">
        <f>HLOOKUP(F269,HLOOKUP_Reference!$A$1:$E$2,2,FALSE)</f>
        <v>6.4999999999999997E-3</v>
      </c>
      <c r="M269">
        <f>SUMIFS(Daily_Merchant_Pivot!$E:$E,Daily_Merchant_Pivot!$A:$A,C269,Daily_Merchant_Pivot!$D:$D,INT(D269))</f>
        <v>299</v>
      </c>
      <c r="N269" t="str">
        <f t="shared" si="8"/>
        <v>Normal Merchant Day</v>
      </c>
      <c r="O269" s="7">
        <f t="shared" si="9"/>
        <v>46050</v>
      </c>
    </row>
    <row r="270" spans="1:15" x14ac:dyDescent="0.3">
      <c r="A270" t="s">
        <v>283</v>
      </c>
      <c r="B270">
        <v>265</v>
      </c>
      <c r="C270">
        <v>8</v>
      </c>
      <c r="D270" s="1">
        <v>46040.15625</v>
      </c>
      <c r="E270">
        <v>499</v>
      </c>
      <c r="F270" t="s">
        <v>15</v>
      </c>
      <c r="G270" t="s">
        <v>10</v>
      </c>
      <c r="H270">
        <v>36</v>
      </c>
      <c r="I270" t="str">
        <f>IFERROR(VLOOKUP(C270,Merchants!$A$2:$D$41,2,FALSE),"Merchant not found")</f>
        <v>Merchant_008</v>
      </c>
      <c r="J270" t="str">
        <f>IFERROR(VLOOKUP(C270,Merchants!$A$2:$D$41,3,FALSE),"Merchant not found")</f>
        <v>food_delivery</v>
      </c>
      <c r="K270" t="str">
        <f>IFERROR(VLOOKUP(C270,Merchants!$A$2:$D$41,4,FALSE), "Merchant Not Fount")</f>
        <v>North</v>
      </c>
      <c r="L270" s="2">
        <f>HLOOKUP(F270,HLOOKUP_Reference!$A$1:$E$2,2,FALSE)</f>
        <v>0.01</v>
      </c>
      <c r="M270">
        <f>SUMIFS(Daily_Merchant_Pivot!$E:$E,Daily_Merchant_Pivot!$A:$A,C270,Daily_Merchant_Pivot!$D:$D,INT(D270))</f>
        <v>499</v>
      </c>
      <c r="N270" t="str">
        <f t="shared" si="8"/>
        <v>Normal Merchant Day</v>
      </c>
      <c r="O270" s="7">
        <f t="shared" si="9"/>
        <v>46040</v>
      </c>
    </row>
    <row r="271" spans="1:15" x14ac:dyDescent="0.3">
      <c r="A271" t="s">
        <v>284</v>
      </c>
      <c r="B271">
        <v>231</v>
      </c>
      <c r="C271">
        <v>33</v>
      </c>
      <c r="D271" s="1">
        <v>46025.220138888886</v>
      </c>
      <c r="E271">
        <v>149</v>
      </c>
      <c r="F271" t="s">
        <v>12</v>
      </c>
      <c r="G271" t="s">
        <v>25</v>
      </c>
      <c r="H271">
        <v>18</v>
      </c>
      <c r="I271" t="str">
        <f>IFERROR(VLOOKUP(C271,Merchants!$A$2:$D$41,2,FALSE),"Merchant not found")</f>
        <v>Merchant_033</v>
      </c>
      <c r="J271" t="str">
        <f>IFERROR(VLOOKUP(C271,Merchants!$A$2:$D$41,3,FALSE),"Merchant not found")</f>
        <v>bill_payment</v>
      </c>
      <c r="K271" t="str">
        <f>IFERROR(VLOOKUP(C271,Merchants!$A$2:$D$41,4,FALSE), "Merchant Not Fount")</f>
        <v>East</v>
      </c>
      <c r="L271" s="2">
        <f>HLOOKUP(F271,HLOOKUP_Reference!$A$1:$E$2,2,FALSE)</f>
        <v>2E-3</v>
      </c>
      <c r="M271">
        <f>SUMIFS(Daily_Merchant_Pivot!$E:$E,Daily_Merchant_Pivot!$A:$A,C271,Daily_Merchant_Pivot!$D:$D,INT(D271))</f>
        <v>149</v>
      </c>
      <c r="N271" t="str">
        <f t="shared" si="8"/>
        <v>Normal Merchant Day</v>
      </c>
      <c r="O271" s="7">
        <f t="shared" si="9"/>
        <v>46025</v>
      </c>
    </row>
    <row r="272" spans="1:15" x14ac:dyDescent="0.3">
      <c r="A272" t="s">
        <v>285</v>
      </c>
      <c r="B272">
        <v>114</v>
      </c>
      <c r="C272">
        <v>29</v>
      </c>
      <c r="D272" s="1">
        <v>46049.545138888891</v>
      </c>
      <c r="E272">
        <v>799</v>
      </c>
      <c r="F272" t="s">
        <v>12</v>
      </c>
      <c r="G272" t="s">
        <v>38</v>
      </c>
      <c r="H272">
        <v>44</v>
      </c>
      <c r="I272" t="str">
        <f>IFERROR(VLOOKUP(C272,Merchants!$A$2:$D$41,2,FALSE),"Merchant not found")</f>
        <v>Merchant_029</v>
      </c>
      <c r="J272" t="str">
        <f>IFERROR(VLOOKUP(C272,Merchants!$A$2:$D$41,3,FALSE),"Merchant not found")</f>
        <v>ecommerce</v>
      </c>
      <c r="K272" t="str">
        <f>IFERROR(VLOOKUP(C272,Merchants!$A$2:$D$41,4,FALSE), "Merchant Not Fount")</f>
        <v>North</v>
      </c>
      <c r="L272" s="2">
        <f>HLOOKUP(F272,HLOOKUP_Reference!$A$1:$E$2,2,FALSE)</f>
        <v>2E-3</v>
      </c>
      <c r="M272">
        <f>SUMIFS(Daily_Merchant_Pivot!$E:$E,Daily_Merchant_Pivot!$A:$A,C272,Daily_Merchant_Pivot!$D:$D,INT(D272))</f>
        <v>898</v>
      </c>
      <c r="N272" t="str">
        <f t="shared" si="8"/>
        <v>Normal Merchant Day</v>
      </c>
      <c r="O272" s="7">
        <f t="shared" si="9"/>
        <v>46049</v>
      </c>
    </row>
    <row r="273" spans="1:15" x14ac:dyDescent="0.3">
      <c r="A273" t="s">
        <v>286</v>
      </c>
      <c r="B273">
        <v>28</v>
      </c>
      <c r="C273">
        <v>26</v>
      </c>
      <c r="D273" s="1">
        <v>46052.018055555556</v>
      </c>
      <c r="E273">
        <v>1499</v>
      </c>
      <c r="F273" t="s">
        <v>12</v>
      </c>
      <c r="G273" t="s">
        <v>25</v>
      </c>
      <c r="H273">
        <v>64</v>
      </c>
      <c r="I273" t="str">
        <f>IFERROR(VLOOKUP(C273,Merchants!$A$2:$D$41,2,FALSE),"Merchant not found")</f>
        <v>Merchant_026</v>
      </c>
      <c r="J273" t="str">
        <f>IFERROR(VLOOKUP(C273,Merchants!$A$2:$D$41,3,FALSE),"Merchant not found")</f>
        <v>food_delivery</v>
      </c>
      <c r="K273" t="str">
        <f>IFERROR(VLOOKUP(C273,Merchants!$A$2:$D$41,4,FALSE), "Merchant Not Fount")</f>
        <v>East</v>
      </c>
      <c r="L273" s="2">
        <f>HLOOKUP(F273,HLOOKUP_Reference!$A$1:$E$2,2,FALSE)</f>
        <v>2E-3</v>
      </c>
      <c r="M273">
        <f>SUMIFS(Daily_Merchant_Pivot!$E:$E,Daily_Merchant_Pivot!$A:$A,C273,Daily_Merchant_Pivot!$D:$D,INT(D273))</f>
        <v>1499</v>
      </c>
      <c r="N273" t="str">
        <f t="shared" si="8"/>
        <v>Normal Merchant Day</v>
      </c>
      <c r="O273" s="7">
        <f t="shared" si="9"/>
        <v>46052</v>
      </c>
    </row>
    <row r="274" spans="1:15" x14ac:dyDescent="0.3">
      <c r="A274" t="s">
        <v>287</v>
      </c>
      <c r="B274">
        <v>42</v>
      </c>
      <c r="C274">
        <v>24</v>
      </c>
      <c r="D274" s="1">
        <v>46034.308333333334</v>
      </c>
      <c r="E274">
        <v>149</v>
      </c>
      <c r="F274" t="s">
        <v>12</v>
      </c>
      <c r="G274" t="s">
        <v>10</v>
      </c>
      <c r="H274">
        <v>28</v>
      </c>
      <c r="I274" t="str">
        <f>IFERROR(VLOOKUP(C274,Merchants!$A$2:$D$41,2,FALSE),"Merchant not found")</f>
        <v>Merchant_024</v>
      </c>
      <c r="J274" t="str">
        <f>IFERROR(VLOOKUP(C274,Merchants!$A$2:$D$41,3,FALSE),"Merchant not found")</f>
        <v>grocery</v>
      </c>
      <c r="K274" t="str">
        <f>IFERROR(VLOOKUP(C274,Merchants!$A$2:$D$41,4,FALSE), "Merchant Not Fount")</f>
        <v>North</v>
      </c>
      <c r="L274" s="2">
        <f>HLOOKUP(F274,HLOOKUP_Reference!$A$1:$E$2,2,FALSE)</f>
        <v>2E-3</v>
      </c>
      <c r="M274">
        <f>SUMIFS(Daily_Merchant_Pivot!$E:$E,Daily_Merchant_Pivot!$A:$A,C274,Daily_Merchant_Pivot!$D:$D,INT(D274))</f>
        <v>149</v>
      </c>
      <c r="N274" t="str">
        <f t="shared" si="8"/>
        <v>Normal Merchant Day</v>
      </c>
      <c r="O274" s="7">
        <f t="shared" si="9"/>
        <v>46034</v>
      </c>
    </row>
    <row r="275" spans="1:15" x14ac:dyDescent="0.3">
      <c r="A275" t="s">
        <v>288</v>
      </c>
      <c r="B275">
        <v>51</v>
      </c>
      <c r="C275">
        <v>22</v>
      </c>
      <c r="D275" s="1">
        <v>46023.457638888889</v>
      </c>
      <c r="E275">
        <v>799</v>
      </c>
      <c r="F275" t="s">
        <v>12</v>
      </c>
      <c r="G275" t="s">
        <v>10</v>
      </c>
      <c r="H275">
        <v>18</v>
      </c>
      <c r="I275" t="str">
        <f>IFERROR(VLOOKUP(C275,Merchants!$A$2:$D$41,2,FALSE),"Merchant not found")</f>
        <v>Merchant_022</v>
      </c>
      <c r="J275" t="str">
        <f>IFERROR(VLOOKUP(C275,Merchants!$A$2:$D$41,3,FALSE),"Merchant not found")</f>
        <v>travel</v>
      </c>
      <c r="K275" t="str">
        <f>IFERROR(VLOOKUP(C275,Merchants!$A$2:$D$41,4,FALSE), "Merchant Not Fount")</f>
        <v>South</v>
      </c>
      <c r="L275" s="2">
        <f>HLOOKUP(F275,HLOOKUP_Reference!$A$1:$E$2,2,FALSE)</f>
        <v>2E-3</v>
      </c>
      <c r="M275">
        <f>SUMIFS(Daily_Merchant_Pivot!$E:$E,Daily_Merchant_Pivot!$A:$A,C275,Daily_Merchant_Pivot!$D:$D,INT(D275))</f>
        <v>799</v>
      </c>
      <c r="N275" t="str">
        <f t="shared" si="8"/>
        <v>Normal Merchant Day</v>
      </c>
      <c r="O275" s="7">
        <f t="shared" si="9"/>
        <v>46023</v>
      </c>
    </row>
    <row r="276" spans="1:15" x14ac:dyDescent="0.3">
      <c r="A276" t="s">
        <v>289</v>
      </c>
      <c r="B276">
        <v>242</v>
      </c>
      <c r="C276">
        <v>9</v>
      </c>
      <c r="D276" s="1">
        <v>46027.054166666669</v>
      </c>
      <c r="E276">
        <v>149</v>
      </c>
      <c r="F276" t="s">
        <v>12</v>
      </c>
      <c r="G276" t="s">
        <v>10</v>
      </c>
      <c r="H276">
        <v>97</v>
      </c>
      <c r="I276" t="str">
        <f>IFERROR(VLOOKUP(C276,Merchants!$A$2:$D$41,2,FALSE),"Merchant not found")</f>
        <v>Merchant_009</v>
      </c>
      <c r="J276" t="str">
        <f>IFERROR(VLOOKUP(C276,Merchants!$A$2:$D$41,3,FALSE),"Merchant not found")</f>
        <v>ecommerce</v>
      </c>
      <c r="K276" t="str">
        <f>IFERROR(VLOOKUP(C276,Merchants!$A$2:$D$41,4,FALSE), "Merchant Not Fount")</f>
        <v>North</v>
      </c>
      <c r="L276" s="2">
        <f>HLOOKUP(F276,HLOOKUP_Reference!$A$1:$E$2,2,FALSE)</f>
        <v>2E-3</v>
      </c>
      <c r="M276">
        <f>SUMIFS(Daily_Merchant_Pivot!$E:$E,Daily_Merchant_Pivot!$A:$A,C276,Daily_Merchant_Pivot!$D:$D,INT(D276))</f>
        <v>149</v>
      </c>
      <c r="N276" t="str">
        <f t="shared" si="8"/>
        <v>Normal Merchant Day</v>
      </c>
      <c r="O276" s="7">
        <f t="shared" si="9"/>
        <v>46027</v>
      </c>
    </row>
    <row r="277" spans="1:15" x14ac:dyDescent="0.3">
      <c r="A277" t="s">
        <v>290</v>
      </c>
      <c r="B277">
        <v>316</v>
      </c>
      <c r="C277">
        <v>1</v>
      </c>
      <c r="D277" s="1">
        <v>46045.644444444442</v>
      </c>
      <c r="E277">
        <v>149</v>
      </c>
      <c r="F277" t="s">
        <v>12</v>
      </c>
      <c r="G277" t="s">
        <v>10</v>
      </c>
      <c r="H277">
        <v>10</v>
      </c>
      <c r="I277" t="str">
        <f>IFERROR(VLOOKUP(C277,Merchants!$A$2:$D$41,2,FALSE),"Merchant not found")</f>
        <v>Merchant_001</v>
      </c>
      <c r="J277" t="str">
        <f>IFERROR(VLOOKUP(C277,Merchants!$A$2:$D$41,3,FALSE),"Merchant not found")</f>
        <v>ecommerce</v>
      </c>
      <c r="K277" t="str">
        <f>IFERROR(VLOOKUP(C277,Merchants!$A$2:$D$41,4,FALSE), "Merchant Not Fount")</f>
        <v>South</v>
      </c>
      <c r="L277" s="2">
        <f>HLOOKUP(F277,HLOOKUP_Reference!$A$1:$E$2,2,FALSE)</f>
        <v>2E-3</v>
      </c>
      <c r="M277">
        <f>SUMIFS(Daily_Merchant_Pivot!$E:$E,Daily_Merchant_Pivot!$A:$A,C277,Daily_Merchant_Pivot!$D:$D,INT(D277))</f>
        <v>3148</v>
      </c>
      <c r="N277" t="str">
        <f t="shared" si="8"/>
        <v>Normal Merchant Day</v>
      </c>
      <c r="O277" s="7">
        <f t="shared" si="9"/>
        <v>46045</v>
      </c>
    </row>
    <row r="278" spans="1:15" x14ac:dyDescent="0.3">
      <c r="A278" t="s">
        <v>291</v>
      </c>
      <c r="B278">
        <v>77</v>
      </c>
      <c r="C278">
        <v>36</v>
      </c>
      <c r="D278" s="1">
        <v>46023.342361111114</v>
      </c>
      <c r="E278">
        <v>149</v>
      </c>
      <c r="F278" t="s">
        <v>12</v>
      </c>
      <c r="G278" t="s">
        <v>10</v>
      </c>
      <c r="H278">
        <v>93</v>
      </c>
      <c r="I278" t="str">
        <f>IFERROR(VLOOKUP(C278,Merchants!$A$2:$D$41,2,FALSE),"Merchant not found")</f>
        <v>Merchant_036</v>
      </c>
      <c r="J278" t="str">
        <f>IFERROR(VLOOKUP(C278,Merchants!$A$2:$D$41,3,FALSE),"Merchant not found")</f>
        <v>entertainment</v>
      </c>
      <c r="K278" t="str">
        <f>IFERROR(VLOOKUP(C278,Merchants!$A$2:$D$41,4,FALSE), "Merchant Not Fount")</f>
        <v>East</v>
      </c>
      <c r="L278" s="2">
        <f>HLOOKUP(F278,HLOOKUP_Reference!$A$1:$E$2,2,FALSE)</f>
        <v>2E-3</v>
      </c>
      <c r="M278">
        <f>SUMIFS(Daily_Merchant_Pivot!$E:$E,Daily_Merchant_Pivot!$A:$A,C278,Daily_Merchant_Pivot!$D:$D,INT(D278))</f>
        <v>149</v>
      </c>
      <c r="N278" t="str">
        <f t="shared" si="8"/>
        <v>Normal Merchant Day</v>
      </c>
      <c r="O278" s="7">
        <f t="shared" si="9"/>
        <v>46023</v>
      </c>
    </row>
    <row r="279" spans="1:15" x14ac:dyDescent="0.3">
      <c r="A279" t="s">
        <v>292</v>
      </c>
      <c r="B279">
        <v>57</v>
      </c>
      <c r="C279">
        <v>19</v>
      </c>
      <c r="D279" s="1">
        <v>46042.685416666667</v>
      </c>
      <c r="E279">
        <v>49</v>
      </c>
      <c r="F279" t="s">
        <v>12</v>
      </c>
      <c r="G279" t="s">
        <v>10</v>
      </c>
      <c r="H279">
        <v>30</v>
      </c>
      <c r="I279" t="str">
        <f>IFERROR(VLOOKUP(C279,Merchants!$A$2:$D$41,2,FALSE),"Merchant not found")</f>
        <v>Merchant_019</v>
      </c>
      <c r="J279" t="str">
        <f>IFERROR(VLOOKUP(C279,Merchants!$A$2:$D$41,3,FALSE),"Merchant not found")</f>
        <v>grocery</v>
      </c>
      <c r="K279" t="str">
        <f>IFERROR(VLOOKUP(C279,Merchants!$A$2:$D$41,4,FALSE), "Merchant Not Fount")</f>
        <v>North</v>
      </c>
      <c r="L279" s="2">
        <f>HLOOKUP(F279,HLOOKUP_Reference!$A$1:$E$2,2,FALSE)</f>
        <v>2E-3</v>
      </c>
      <c r="M279">
        <f>SUMIFS(Daily_Merchant_Pivot!$E:$E,Daily_Merchant_Pivot!$A:$A,C279,Daily_Merchant_Pivot!$D:$D,INT(D279))</f>
        <v>348</v>
      </c>
      <c r="N279" t="str">
        <f t="shared" si="8"/>
        <v>Normal Merchant Day</v>
      </c>
      <c r="O279" s="7">
        <f t="shared" si="9"/>
        <v>46042</v>
      </c>
    </row>
    <row r="280" spans="1:15" x14ac:dyDescent="0.3">
      <c r="A280" t="s">
        <v>293</v>
      </c>
      <c r="B280">
        <v>123</v>
      </c>
      <c r="C280">
        <v>27</v>
      </c>
      <c r="D280" s="1">
        <v>46032.127083333333</v>
      </c>
      <c r="E280">
        <v>149</v>
      </c>
      <c r="F280" t="s">
        <v>15</v>
      </c>
      <c r="G280" t="s">
        <v>10</v>
      </c>
      <c r="H280">
        <v>81</v>
      </c>
      <c r="I280" t="str">
        <f>IFERROR(VLOOKUP(C280,Merchants!$A$2:$D$41,2,FALSE),"Merchant not found")</f>
        <v>Merchant_027</v>
      </c>
      <c r="J280" t="str">
        <f>IFERROR(VLOOKUP(C280,Merchants!$A$2:$D$41,3,FALSE),"Merchant not found")</f>
        <v>ecommerce</v>
      </c>
      <c r="K280" t="str">
        <f>IFERROR(VLOOKUP(C280,Merchants!$A$2:$D$41,4,FALSE), "Merchant Not Fount")</f>
        <v>North</v>
      </c>
      <c r="L280" s="2">
        <f>HLOOKUP(F280,HLOOKUP_Reference!$A$1:$E$2,2,FALSE)</f>
        <v>0.01</v>
      </c>
      <c r="M280">
        <f>SUMIFS(Daily_Merchant_Pivot!$E:$E,Daily_Merchant_Pivot!$A:$A,C280,Daily_Merchant_Pivot!$D:$D,INT(D280))</f>
        <v>149</v>
      </c>
      <c r="N280" t="str">
        <f t="shared" si="8"/>
        <v>Normal Merchant Day</v>
      </c>
      <c r="O280" s="7">
        <f t="shared" si="9"/>
        <v>46032</v>
      </c>
    </row>
    <row r="281" spans="1:15" x14ac:dyDescent="0.3">
      <c r="A281" t="s">
        <v>294</v>
      </c>
      <c r="B281">
        <v>33</v>
      </c>
      <c r="C281">
        <v>8</v>
      </c>
      <c r="D281" s="1">
        <v>46048.811805555553</v>
      </c>
      <c r="E281">
        <v>299</v>
      </c>
      <c r="F281" t="s">
        <v>9</v>
      </c>
      <c r="G281" t="s">
        <v>10</v>
      </c>
      <c r="H281">
        <v>63</v>
      </c>
      <c r="I281" t="str">
        <f>IFERROR(VLOOKUP(C281,Merchants!$A$2:$D$41,2,FALSE),"Merchant not found")</f>
        <v>Merchant_008</v>
      </c>
      <c r="J281" t="str">
        <f>IFERROR(VLOOKUP(C281,Merchants!$A$2:$D$41,3,FALSE),"Merchant not found")</f>
        <v>food_delivery</v>
      </c>
      <c r="K281" t="str">
        <f>IFERROR(VLOOKUP(C281,Merchants!$A$2:$D$41,4,FALSE), "Merchant Not Fount")</f>
        <v>North</v>
      </c>
      <c r="L281" s="2">
        <f>HLOOKUP(F281,HLOOKUP_Reference!$A$1:$E$2,2,FALSE)</f>
        <v>6.4999999999999997E-3</v>
      </c>
      <c r="M281">
        <f>SUMIFS(Daily_Merchant_Pivot!$E:$E,Daily_Merchant_Pivot!$A:$A,C281,Daily_Merchant_Pivot!$D:$D,INT(D281))</f>
        <v>598</v>
      </c>
      <c r="N281" t="str">
        <f t="shared" si="8"/>
        <v>Normal Merchant Day</v>
      </c>
      <c r="O281" s="7">
        <f t="shared" si="9"/>
        <v>46048</v>
      </c>
    </row>
    <row r="282" spans="1:15" x14ac:dyDescent="0.3">
      <c r="A282" t="s">
        <v>295</v>
      </c>
      <c r="B282">
        <v>324</v>
      </c>
      <c r="C282">
        <v>33</v>
      </c>
      <c r="D282" s="1">
        <v>46042.709027777775</v>
      </c>
      <c r="E282">
        <v>499</v>
      </c>
      <c r="F282" t="s">
        <v>12</v>
      </c>
      <c r="G282" t="s">
        <v>10</v>
      </c>
      <c r="H282">
        <v>73</v>
      </c>
      <c r="I282" t="str">
        <f>IFERROR(VLOOKUP(C282,Merchants!$A$2:$D$41,2,FALSE),"Merchant not found")</f>
        <v>Merchant_033</v>
      </c>
      <c r="J282" t="str">
        <f>IFERROR(VLOOKUP(C282,Merchants!$A$2:$D$41,3,FALSE),"Merchant not found")</f>
        <v>bill_payment</v>
      </c>
      <c r="K282" t="str">
        <f>IFERROR(VLOOKUP(C282,Merchants!$A$2:$D$41,4,FALSE), "Merchant Not Fount")</f>
        <v>East</v>
      </c>
      <c r="L282" s="2">
        <f>HLOOKUP(F282,HLOOKUP_Reference!$A$1:$E$2,2,FALSE)</f>
        <v>2E-3</v>
      </c>
      <c r="M282">
        <f>SUMIFS(Daily_Merchant_Pivot!$E:$E,Daily_Merchant_Pivot!$A:$A,C282,Daily_Merchant_Pivot!$D:$D,INT(D282))</f>
        <v>499</v>
      </c>
      <c r="N282" t="str">
        <f t="shared" si="8"/>
        <v>Normal Merchant Day</v>
      </c>
      <c r="O282" s="7">
        <f t="shared" si="9"/>
        <v>46042</v>
      </c>
    </row>
    <row r="283" spans="1:15" x14ac:dyDescent="0.3">
      <c r="A283" t="s">
        <v>296</v>
      </c>
      <c r="B283">
        <v>150</v>
      </c>
      <c r="C283">
        <v>28</v>
      </c>
      <c r="D283" s="1">
        <v>46030.92291666667</v>
      </c>
      <c r="E283">
        <v>49</v>
      </c>
      <c r="F283" t="s">
        <v>12</v>
      </c>
      <c r="G283" t="s">
        <v>25</v>
      </c>
      <c r="H283">
        <v>0</v>
      </c>
      <c r="I283" t="str">
        <f>IFERROR(VLOOKUP(C283,Merchants!$A$2:$D$41,2,FALSE),"Merchant not found")</f>
        <v>Merchant_028</v>
      </c>
      <c r="J283" t="str">
        <f>IFERROR(VLOOKUP(C283,Merchants!$A$2:$D$41,3,FALSE),"Merchant not found")</f>
        <v>ecommerce</v>
      </c>
      <c r="K283" t="str">
        <f>IFERROR(VLOOKUP(C283,Merchants!$A$2:$D$41,4,FALSE), "Merchant Not Fount")</f>
        <v>South</v>
      </c>
      <c r="L283" s="2">
        <f>HLOOKUP(F283,HLOOKUP_Reference!$A$1:$E$2,2,FALSE)</f>
        <v>2E-3</v>
      </c>
      <c r="M283">
        <f>SUMIFS(Daily_Merchant_Pivot!$E:$E,Daily_Merchant_Pivot!$A:$A,C283,Daily_Merchant_Pivot!$D:$D,INT(D283))</f>
        <v>49</v>
      </c>
      <c r="N283" t="str">
        <f t="shared" si="8"/>
        <v>Normal Merchant Day</v>
      </c>
      <c r="O283" s="7">
        <f t="shared" si="9"/>
        <v>46030</v>
      </c>
    </row>
    <row r="284" spans="1:15" x14ac:dyDescent="0.3">
      <c r="A284" t="s">
        <v>297</v>
      </c>
      <c r="B284">
        <v>293</v>
      </c>
      <c r="C284">
        <v>27</v>
      </c>
      <c r="D284" s="1">
        <v>46042.46875</v>
      </c>
      <c r="E284">
        <v>4999</v>
      </c>
      <c r="F284" t="s">
        <v>12</v>
      </c>
      <c r="G284" t="s">
        <v>10</v>
      </c>
      <c r="H284">
        <v>23</v>
      </c>
      <c r="I284" t="str">
        <f>IFERROR(VLOOKUP(C284,Merchants!$A$2:$D$41,2,FALSE),"Merchant not found")</f>
        <v>Merchant_027</v>
      </c>
      <c r="J284" t="str">
        <f>IFERROR(VLOOKUP(C284,Merchants!$A$2:$D$41,3,FALSE),"Merchant not found")</f>
        <v>ecommerce</v>
      </c>
      <c r="K284" t="str">
        <f>IFERROR(VLOOKUP(C284,Merchants!$A$2:$D$41,4,FALSE), "Merchant Not Fount")</f>
        <v>North</v>
      </c>
      <c r="L284" s="2">
        <f>HLOOKUP(F284,HLOOKUP_Reference!$A$1:$E$2,2,FALSE)</f>
        <v>2E-3</v>
      </c>
      <c r="M284">
        <f>SUMIFS(Daily_Merchant_Pivot!$E:$E,Daily_Merchant_Pivot!$A:$A,C284,Daily_Merchant_Pivot!$D:$D,INT(D284))</f>
        <v>4999</v>
      </c>
      <c r="N284" t="str">
        <f t="shared" si="8"/>
        <v>Normal Merchant Day</v>
      </c>
      <c r="O284" s="7">
        <f t="shared" si="9"/>
        <v>46042</v>
      </c>
    </row>
    <row r="285" spans="1:15" x14ac:dyDescent="0.3">
      <c r="A285" t="s">
        <v>298</v>
      </c>
      <c r="B285">
        <v>269</v>
      </c>
      <c r="C285">
        <v>24</v>
      </c>
      <c r="D285" s="1">
        <v>46044.878472222219</v>
      </c>
      <c r="E285">
        <v>49</v>
      </c>
      <c r="F285" t="s">
        <v>9</v>
      </c>
      <c r="G285" t="s">
        <v>10</v>
      </c>
      <c r="H285">
        <v>8</v>
      </c>
      <c r="I285" t="str">
        <f>IFERROR(VLOOKUP(C285,Merchants!$A$2:$D$41,2,FALSE),"Merchant not found")</f>
        <v>Merchant_024</v>
      </c>
      <c r="J285" t="str">
        <f>IFERROR(VLOOKUP(C285,Merchants!$A$2:$D$41,3,FALSE),"Merchant not found")</f>
        <v>grocery</v>
      </c>
      <c r="K285" t="str">
        <f>IFERROR(VLOOKUP(C285,Merchants!$A$2:$D$41,4,FALSE), "Merchant Not Fount")</f>
        <v>North</v>
      </c>
      <c r="L285" s="2">
        <f>HLOOKUP(F285,HLOOKUP_Reference!$A$1:$E$2,2,FALSE)</f>
        <v>6.4999999999999997E-3</v>
      </c>
      <c r="M285">
        <f>SUMIFS(Daily_Merchant_Pivot!$E:$E,Daily_Merchant_Pivot!$A:$A,C285,Daily_Merchant_Pivot!$D:$D,INT(D285))</f>
        <v>49</v>
      </c>
      <c r="N285" t="str">
        <f t="shared" si="8"/>
        <v>Normal Merchant Day</v>
      </c>
      <c r="O285" s="7">
        <f t="shared" si="9"/>
        <v>46044</v>
      </c>
    </row>
    <row r="286" spans="1:15" x14ac:dyDescent="0.3">
      <c r="A286" t="s">
        <v>299</v>
      </c>
      <c r="B286">
        <v>260</v>
      </c>
      <c r="C286">
        <v>36</v>
      </c>
      <c r="D286" s="1">
        <v>46039.730555555558</v>
      </c>
      <c r="E286">
        <v>1499</v>
      </c>
      <c r="F286" t="s">
        <v>12</v>
      </c>
      <c r="G286" t="s">
        <v>10</v>
      </c>
      <c r="H286">
        <v>2</v>
      </c>
      <c r="I286" t="str">
        <f>IFERROR(VLOOKUP(C286,Merchants!$A$2:$D$41,2,FALSE),"Merchant not found")</f>
        <v>Merchant_036</v>
      </c>
      <c r="J286" t="str">
        <f>IFERROR(VLOOKUP(C286,Merchants!$A$2:$D$41,3,FALSE),"Merchant not found")</f>
        <v>entertainment</v>
      </c>
      <c r="K286" t="str">
        <f>IFERROR(VLOOKUP(C286,Merchants!$A$2:$D$41,4,FALSE), "Merchant Not Fount")</f>
        <v>East</v>
      </c>
      <c r="L286" s="2">
        <f>HLOOKUP(F286,HLOOKUP_Reference!$A$1:$E$2,2,FALSE)</f>
        <v>2E-3</v>
      </c>
      <c r="M286">
        <f>SUMIFS(Daily_Merchant_Pivot!$E:$E,Daily_Merchant_Pivot!$A:$A,C286,Daily_Merchant_Pivot!$D:$D,INT(D286))</f>
        <v>1499</v>
      </c>
      <c r="N286" t="str">
        <f t="shared" si="8"/>
        <v>Normal Merchant Day</v>
      </c>
      <c r="O286" s="7">
        <f t="shared" si="9"/>
        <v>46039</v>
      </c>
    </row>
    <row r="287" spans="1:15" x14ac:dyDescent="0.3">
      <c r="A287" t="s">
        <v>300</v>
      </c>
      <c r="B287">
        <v>326</v>
      </c>
      <c r="C287">
        <v>25</v>
      </c>
      <c r="D287" s="1">
        <v>46035.626388888886</v>
      </c>
      <c r="E287">
        <v>49</v>
      </c>
      <c r="F287" t="s">
        <v>12</v>
      </c>
      <c r="G287" t="s">
        <v>10</v>
      </c>
      <c r="H287">
        <v>47</v>
      </c>
      <c r="I287" t="str">
        <f>IFERROR(VLOOKUP(C287,Merchants!$A$2:$D$41,2,FALSE),"Merchant not found")</f>
        <v>Merchant_025</v>
      </c>
      <c r="J287" t="str">
        <f>IFERROR(VLOOKUP(C287,Merchants!$A$2:$D$41,3,FALSE),"Merchant not found")</f>
        <v>travel</v>
      </c>
      <c r="K287" t="str">
        <f>IFERROR(VLOOKUP(C287,Merchants!$A$2:$D$41,4,FALSE), "Merchant Not Fount")</f>
        <v>South</v>
      </c>
      <c r="L287" s="2">
        <f>HLOOKUP(F287,HLOOKUP_Reference!$A$1:$E$2,2,FALSE)</f>
        <v>2E-3</v>
      </c>
      <c r="M287">
        <f>SUMIFS(Daily_Merchant_Pivot!$E:$E,Daily_Merchant_Pivot!$A:$A,C287,Daily_Merchant_Pivot!$D:$D,INT(D287))</f>
        <v>49</v>
      </c>
      <c r="N287" t="str">
        <f t="shared" si="8"/>
        <v>Normal Merchant Day</v>
      </c>
      <c r="O287" s="7">
        <f t="shared" si="9"/>
        <v>46035</v>
      </c>
    </row>
    <row r="288" spans="1:15" x14ac:dyDescent="0.3">
      <c r="A288" t="s">
        <v>301</v>
      </c>
      <c r="B288">
        <v>183</v>
      </c>
      <c r="C288">
        <v>5</v>
      </c>
      <c r="D288" s="1">
        <v>46031.959027777775</v>
      </c>
      <c r="E288">
        <v>49</v>
      </c>
      <c r="F288" t="s">
        <v>24</v>
      </c>
      <c r="G288" t="s">
        <v>10</v>
      </c>
      <c r="H288">
        <v>44</v>
      </c>
      <c r="I288" t="str">
        <f>IFERROR(VLOOKUP(C288,Merchants!$A$2:$D$41,2,FALSE),"Merchant not found")</f>
        <v>Merchant_005</v>
      </c>
      <c r="J288" t="str">
        <f>IFERROR(VLOOKUP(C288,Merchants!$A$2:$D$41,3,FALSE),"Merchant not found")</f>
        <v>recharge</v>
      </c>
      <c r="K288" t="str">
        <f>IFERROR(VLOOKUP(C288,Merchants!$A$2:$D$41,4,FALSE), "Merchant Not Fount")</f>
        <v>South</v>
      </c>
      <c r="L288" s="2">
        <f>HLOOKUP(F288,HLOOKUP_Reference!$A$1:$E$2,2,FALSE)</f>
        <v>1.4999999999999999E-2</v>
      </c>
      <c r="M288">
        <f>SUMIFS(Daily_Merchant_Pivot!$E:$E,Daily_Merchant_Pivot!$A:$A,C288,Daily_Merchant_Pivot!$D:$D,INT(D288))</f>
        <v>348</v>
      </c>
      <c r="N288" t="str">
        <f t="shared" si="8"/>
        <v>Normal Merchant Day</v>
      </c>
      <c r="O288" s="7">
        <f t="shared" si="9"/>
        <v>46031</v>
      </c>
    </row>
    <row r="289" spans="1:15" x14ac:dyDescent="0.3">
      <c r="A289" t="s">
        <v>302</v>
      </c>
      <c r="B289">
        <v>322</v>
      </c>
      <c r="C289">
        <v>7</v>
      </c>
      <c r="D289" s="1">
        <v>46030.987500000003</v>
      </c>
      <c r="E289">
        <v>299</v>
      </c>
      <c r="F289" t="s">
        <v>12</v>
      </c>
      <c r="G289" t="s">
        <v>10</v>
      </c>
      <c r="H289">
        <v>98</v>
      </c>
      <c r="I289" t="str">
        <f>IFERROR(VLOOKUP(C289,Merchants!$A$2:$D$41,2,FALSE),"Merchant not found")</f>
        <v>Merchant_007</v>
      </c>
      <c r="J289" t="str">
        <f>IFERROR(VLOOKUP(C289,Merchants!$A$2:$D$41,3,FALSE),"Merchant not found")</f>
        <v>food_delivery</v>
      </c>
      <c r="K289" t="str">
        <f>IFERROR(VLOOKUP(C289,Merchants!$A$2:$D$41,4,FALSE), "Merchant Not Fount")</f>
        <v>East</v>
      </c>
      <c r="L289" s="2">
        <f>HLOOKUP(F289,HLOOKUP_Reference!$A$1:$E$2,2,FALSE)</f>
        <v>2E-3</v>
      </c>
      <c r="M289">
        <f>SUMIFS(Daily_Merchant_Pivot!$E:$E,Daily_Merchant_Pivot!$A:$A,C289,Daily_Merchant_Pivot!$D:$D,INT(D289))</f>
        <v>299</v>
      </c>
      <c r="N289" t="str">
        <f t="shared" si="8"/>
        <v>Normal Merchant Day</v>
      </c>
      <c r="O289" s="7">
        <f t="shared" si="9"/>
        <v>46030</v>
      </c>
    </row>
    <row r="290" spans="1:15" x14ac:dyDescent="0.3">
      <c r="A290" t="s">
        <v>303</v>
      </c>
      <c r="B290">
        <v>171</v>
      </c>
      <c r="C290">
        <v>9</v>
      </c>
      <c r="D290" s="1">
        <v>46041.991666666669</v>
      </c>
      <c r="E290">
        <v>299</v>
      </c>
      <c r="F290" t="s">
        <v>12</v>
      </c>
      <c r="G290" t="s">
        <v>10</v>
      </c>
      <c r="H290">
        <v>5</v>
      </c>
      <c r="I290" t="str">
        <f>IFERROR(VLOOKUP(C290,Merchants!$A$2:$D$41,2,FALSE),"Merchant not found")</f>
        <v>Merchant_009</v>
      </c>
      <c r="J290" t="str">
        <f>IFERROR(VLOOKUP(C290,Merchants!$A$2:$D$41,3,FALSE),"Merchant not found")</f>
        <v>ecommerce</v>
      </c>
      <c r="K290" t="str">
        <f>IFERROR(VLOOKUP(C290,Merchants!$A$2:$D$41,4,FALSE), "Merchant Not Fount")</f>
        <v>North</v>
      </c>
      <c r="L290" s="2">
        <f>HLOOKUP(F290,HLOOKUP_Reference!$A$1:$E$2,2,FALSE)</f>
        <v>2E-3</v>
      </c>
      <c r="M290">
        <f>SUMIFS(Daily_Merchant_Pivot!$E:$E,Daily_Merchant_Pivot!$A:$A,C290,Daily_Merchant_Pivot!$D:$D,INT(D290))</f>
        <v>299</v>
      </c>
      <c r="N290" t="str">
        <f t="shared" si="8"/>
        <v>Normal Merchant Day</v>
      </c>
      <c r="O290" s="7">
        <f t="shared" si="9"/>
        <v>46041</v>
      </c>
    </row>
    <row r="291" spans="1:15" x14ac:dyDescent="0.3">
      <c r="A291" t="s">
        <v>304</v>
      </c>
      <c r="B291">
        <v>330</v>
      </c>
      <c r="C291">
        <v>12</v>
      </c>
      <c r="D291" s="1">
        <v>46034.722916666666</v>
      </c>
      <c r="E291">
        <v>1499</v>
      </c>
      <c r="F291" t="s">
        <v>15</v>
      </c>
      <c r="G291" t="s">
        <v>10</v>
      </c>
      <c r="H291">
        <v>99</v>
      </c>
      <c r="I291" t="str">
        <f>IFERROR(VLOOKUP(C291,Merchants!$A$2:$D$41,2,FALSE),"Merchant not found")</f>
        <v>Merchant_012</v>
      </c>
      <c r="J291" t="str">
        <f>IFERROR(VLOOKUP(C291,Merchants!$A$2:$D$41,3,FALSE),"Merchant not found")</f>
        <v>ecommerce</v>
      </c>
      <c r="K291" t="str">
        <f>IFERROR(VLOOKUP(C291,Merchants!$A$2:$D$41,4,FALSE), "Merchant Not Fount")</f>
        <v>East</v>
      </c>
      <c r="L291" s="2">
        <f>HLOOKUP(F291,HLOOKUP_Reference!$A$1:$E$2,2,FALSE)</f>
        <v>0.01</v>
      </c>
      <c r="M291">
        <f>SUMIFS(Daily_Merchant_Pivot!$E:$E,Daily_Merchant_Pivot!$A:$A,C291,Daily_Merchant_Pivot!$D:$D,INT(D291))</f>
        <v>1998</v>
      </c>
      <c r="N291" t="str">
        <f t="shared" si="8"/>
        <v>Normal Merchant Day</v>
      </c>
      <c r="O291" s="7">
        <f t="shared" si="9"/>
        <v>46034</v>
      </c>
    </row>
    <row r="292" spans="1:15" x14ac:dyDescent="0.3">
      <c r="A292" t="s">
        <v>305</v>
      </c>
      <c r="B292">
        <v>246</v>
      </c>
      <c r="C292">
        <v>12</v>
      </c>
      <c r="D292" s="1">
        <v>46044.613888888889</v>
      </c>
      <c r="E292">
        <v>99</v>
      </c>
      <c r="F292" t="s">
        <v>9</v>
      </c>
      <c r="G292" t="s">
        <v>10</v>
      </c>
      <c r="H292">
        <v>17</v>
      </c>
      <c r="I292" t="str">
        <f>IFERROR(VLOOKUP(C292,Merchants!$A$2:$D$41,2,FALSE),"Merchant not found")</f>
        <v>Merchant_012</v>
      </c>
      <c r="J292" t="str">
        <f>IFERROR(VLOOKUP(C292,Merchants!$A$2:$D$41,3,FALSE),"Merchant not found")</f>
        <v>ecommerce</v>
      </c>
      <c r="K292" t="str">
        <f>IFERROR(VLOOKUP(C292,Merchants!$A$2:$D$41,4,FALSE), "Merchant Not Fount")</f>
        <v>East</v>
      </c>
      <c r="L292" s="2">
        <f>HLOOKUP(F292,HLOOKUP_Reference!$A$1:$E$2,2,FALSE)</f>
        <v>6.4999999999999997E-3</v>
      </c>
      <c r="M292">
        <f>SUMIFS(Daily_Merchant_Pivot!$E:$E,Daily_Merchant_Pivot!$A:$A,C292,Daily_Merchant_Pivot!$D:$D,INT(D292))</f>
        <v>99</v>
      </c>
      <c r="N292" t="str">
        <f t="shared" si="8"/>
        <v>Normal Merchant Day</v>
      </c>
      <c r="O292" s="7">
        <f t="shared" si="9"/>
        <v>46044</v>
      </c>
    </row>
    <row r="293" spans="1:15" x14ac:dyDescent="0.3">
      <c r="A293" t="s">
        <v>306</v>
      </c>
      <c r="B293">
        <v>235</v>
      </c>
      <c r="C293">
        <v>3</v>
      </c>
      <c r="D293" s="1">
        <v>46025.950694444444</v>
      </c>
      <c r="E293">
        <v>49</v>
      </c>
      <c r="F293" t="s">
        <v>12</v>
      </c>
      <c r="G293" t="s">
        <v>10</v>
      </c>
      <c r="H293">
        <v>37</v>
      </c>
      <c r="I293" t="str">
        <f>IFERROR(VLOOKUP(C293,Merchants!$A$2:$D$41,2,FALSE),"Merchant not found")</f>
        <v>Merchant_003</v>
      </c>
      <c r="J293" t="str">
        <f>IFERROR(VLOOKUP(C293,Merchants!$A$2:$D$41,3,FALSE),"Merchant not found")</f>
        <v>grocery</v>
      </c>
      <c r="K293" t="str">
        <f>IFERROR(VLOOKUP(C293,Merchants!$A$2:$D$41,4,FALSE), "Merchant Not Fount")</f>
        <v>East</v>
      </c>
      <c r="L293" s="2">
        <f>HLOOKUP(F293,HLOOKUP_Reference!$A$1:$E$2,2,FALSE)</f>
        <v>2E-3</v>
      </c>
      <c r="M293">
        <f>SUMIFS(Daily_Merchant_Pivot!$E:$E,Daily_Merchant_Pivot!$A:$A,C293,Daily_Merchant_Pivot!$D:$D,INT(D293))</f>
        <v>198</v>
      </c>
      <c r="N293" t="str">
        <f t="shared" si="8"/>
        <v>Normal Merchant Day</v>
      </c>
      <c r="O293" s="7">
        <f t="shared" si="9"/>
        <v>46025</v>
      </c>
    </row>
    <row r="294" spans="1:15" x14ac:dyDescent="0.3">
      <c r="A294" t="s">
        <v>307</v>
      </c>
      <c r="B294">
        <v>103</v>
      </c>
      <c r="C294">
        <v>3</v>
      </c>
      <c r="D294" s="1">
        <v>46029.076388888891</v>
      </c>
      <c r="E294">
        <v>499</v>
      </c>
      <c r="F294" t="s">
        <v>12</v>
      </c>
      <c r="G294" t="s">
        <v>10</v>
      </c>
      <c r="H294">
        <v>40</v>
      </c>
      <c r="I294" t="str">
        <f>IFERROR(VLOOKUP(C294,Merchants!$A$2:$D$41,2,FALSE),"Merchant not found")</f>
        <v>Merchant_003</v>
      </c>
      <c r="J294" t="str">
        <f>IFERROR(VLOOKUP(C294,Merchants!$A$2:$D$41,3,FALSE),"Merchant not found")</f>
        <v>grocery</v>
      </c>
      <c r="K294" t="str">
        <f>IFERROR(VLOOKUP(C294,Merchants!$A$2:$D$41,4,FALSE), "Merchant Not Fount")</f>
        <v>East</v>
      </c>
      <c r="L294" s="2">
        <f>HLOOKUP(F294,HLOOKUP_Reference!$A$1:$E$2,2,FALSE)</f>
        <v>2E-3</v>
      </c>
      <c r="M294">
        <f>SUMIFS(Daily_Merchant_Pivot!$E:$E,Daily_Merchant_Pivot!$A:$A,C294,Daily_Merchant_Pivot!$D:$D,INT(D294))</f>
        <v>798</v>
      </c>
      <c r="N294" t="str">
        <f t="shared" si="8"/>
        <v>Normal Merchant Day</v>
      </c>
      <c r="O294" s="7">
        <f t="shared" si="9"/>
        <v>46029</v>
      </c>
    </row>
    <row r="295" spans="1:15" x14ac:dyDescent="0.3">
      <c r="A295" t="s">
        <v>308</v>
      </c>
      <c r="B295">
        <v>204</v>
      </c>
      <c r="C295">
        <v>35</v>
      </c>
      <c r="D295" s="1">
        <v>46052.397222222222</v>
      </c>
      <c r="E295">
        <v>99</v>
      </c>
      <c r="F295" t="s">
        <v>9</v>
      </c>
      <c r="G295" t="s">
        <v>10</v>
      </c>
      <c r="H295">
        <v>60</v>
      </c>
      <c r="I295" t="str">
        <f>IFERROR(VLOOKUP(C295,Merchants!$A$2:$D$41,2,FALSE),"Merchant not found")</f>
        <v>Merchant_035</v>
      </c>
      <c r="J295" t="str">
        <f>IFERROR(VLOOKUP(C295,Merchants!$A$2:$D$41,3,FALSE),"Merchant not found")</f>
        <v>recharge</v>
      </c>
      <c r="K295" t="str">
        <f>IFERROR(VLOOKUP(C295,Merchants!$A$2:$D$41,4,FALSE), "Merchant Not Fount")</f>
        <v>East</v>
      </c>
      <c r="L295" s="2">
        <f>HLOOKUP(F295,HLOOKUP_Reference!$A$1:$E$2,2,FALSE)</f>
        <v>6.4999999999999997E-3</v>
      </c>
      <c r="M295">
        <f>SUMIFS(Daily_Merchant_Pivot!$E:$E,Daily_Merchant_Pivot!$A:$A,C295,Daily_Merchant_Pivot!$D:$D,INT(D295))</f>
        <v>99</v>
      </c>
      <c r="N295" t="str">
        <f t="shared" si="8"/>
        <v>Normal Merchant Day</v>
      </c>
      <c r="O295" s="7">
        <f t="shared" si="9"/>
        <v>46052</v>
      </c>
    </row>
    <row r="296" spans="1:15" x14ac:dyDescent="0.3">
      <c r="A296" t="s">
        <v>309</v>
      </c>
      <c r="B296">
        <v>332</v>
      </c>
      <c r="C296">
        <v>13</v>
      </c>
      <c r="D296" s="1">
        <v>46031.074999999997</v>
      </c>
      <c r="E296">
        <v>49</v>
      </c>
      <c r="F296" t="s">
        <v>24</v>
      </c>
      <c r="G296" t="s">
        <v>10</v>
      </c>
      <c r="H296">
        <v>36</v>
      </c>
      <c r="I296" t="str">
        <f>IFERROR(VLOOKUP(C296,Merchants!$A$2:$D$41,2,FALSE),"Merchant not found")</f>
        <v>Merchant_013</v>
      </c>
      <c r="J296" t="str">
        <f>IFERROR(VLOOKUP(C296,Merchants!$A$2:$D$41,3,FALSE),"Merchant not found")</f>
        <v>travel</v>
      </c>
      <c r="K296" t="str">
        <f>IFERROR(VLOOKUP(C296,Merchants!$A$2:$D$41,4,FALSE), "Merchant Not Fount")</f>
        <v>East</v>
      </c>
      <c r="L296" s="2">
        <f>HLOOKUP(F296,HLOOKUP_Reference!$A$1:$E$2,2,FALSE)</f>
        <v>1.4999999999999999E-2</v>
      </c>
      <c r="M296">
        <f>SUMIFS(Daily_Merchant_Pivot!$E:$E,Daily_Merchant_Pivot!$A:$A,C296,Daily_Merchant_Pivot!$D:$D,INT(D296))</f>
        <v>198</v>
      </c>
      <c r="N296" t="str">
        <f t="shared" si="8"/>
        <v>Normal Merchant Day</v>
      </c>
      <c r="O296" s="7">
        <f t="shared" si="9"/>
        <v>46031</v>
      </c>
    </row>
    <row r="297" spans="1:15" x14ac:dyDescent="0.3">
      <c r="A297" t="s">
        <v>310</v>
      </c>
      <c r="B297">
        <v>336</v>
      </c>
      <c r="C297">
        <v>22</v>
      </c>
      <c r="D297" s="1">
        <v>46034.079861111109</v>
      </c>
      <c r="E297">
        <v>499</v>
      </c>
      <c r="F297" t="s">
        <v>12</v>
      </c>
      <c r="G297" t="s">
        <v>10</v>
      </c>
      <c r="H297">
        <v>34</v>
      </c>
      <c r="I297" t="str">
        <f>IFERROR(VLOOKUP(C297,Merchants!$A$2:$D$41,2,FALSE),"Merchant not found")</f>
        <v>Merchant_022</v>
      </c>
      <c r="J297" t="str">
        <f>IFERROR(VLOOKUP(C297,Merchants!$A$2:$D$41,3,FALSE),"Merchant not found")</f>
        <v>travel</v>
      </c>
      <c r="K297" t="str">
        <f>IFERROR(VLOOKUP(C297,Merchants!$A$2:$D$41,4,FALSE), "Merchant Not Fount")</f>
        <v>South</v>
      </c>
      <c r="L297" s="2">
        <f>HLOOKUP(F297,HLOOKUP_Reference!$A$1:$E$2,2,FALSE)</f>
        <v>2E-3</v>
      </c>
      <c r="M297">
        <f>SUMIFS(Daily_Merchant_Pivot!$E:$E,Daily_Merchant_Pivot!$A:$A,C297,Daily_Merchant_Pivot!$D:$D,INT(D297))</f>
        <v>1697</v>
      </c>
      <c r="N297" t="str">
        <f t="shared" si="8"/>
        <v>Normal Merchant Day</v>
      </c>
      <c r="O297" s="7">
        <f t="shared" si="9"/>
        <v>46034</v>
      </c>
    </row>
    <row r="298" spans="1:15" x14ac:dyDescent="0.3">
      <c r="A298" t="s">
        <v>311</v>
      </c>
      <c r="B298">
        <v>205</v>
      </c>
      <c r="C298">
        <v>29</v>
      </c>
      <c r="D298" s="1">
        <v>46026.477083333331</v>
      </c>
      <c r="E298">
        <v>99</v>
      </c>
      <c r="F298" t="s">
        <v>9</v>
      </c>
      <c r="G298" t="s">
        <v>10</v>
      </c>
      <c r="H298">
        <v>49</v>
      </c>
      <c r="I298" t="str">
        <f>IFERROR(VLOOKUP(C298,Merchants!$A$2:$D$41,2,FALSE),"Merchant not found")</f>
        <v>Merchant_029</v>
      </c>
      <c r="J298" t="str">
        <f>IFERROR(VLOOKUP(C298,Merchants!$A$2:$D$41,3,FALSE),"Merchant not found")</f>
        <v>ecommerce</v>
      </c>
      <c r="K298" t="str">
        <f>IFERROR(VLOOKUP(C298,Merchants!$A$2:$D$41,4,FALSE), "Merchant Not Fount")</f>
        <v>North</v>
      </c>
      <c r="L298" s="2">
        <f>HLOOKUP(F298,HLOOKUP_Reference!$A$1:$E$2,2,FALSE)</f>
        <v>6.4999999999999997E-3</v>
      </c>
      <c r="M298">
        <f>SUMIFS(Daily_Merchant_Pivot!$E:$E,Daily_Merchant_Pivot!$A:$A,C298,Daily_Merchant_Pivot!$D:$D,INT(D298))</f>
        <v>99</v>
      </c>
      <c r="N298" t="str">
        <f t="shared" si="8"/>
        <v>Normal Merchant Day</v>
      </c>
      <c r="O298" s="7">
        <f t="shared" si="9"/>
        <v>46026</v>
      </c>
    </row>
    <row r="299" spans="1:15" x14ac:dyDescent="0.3">
      <c r="A299" t="s">
        <v>312</v>
      </c>
      <c r="B299">
        <v>255</v>
      </c>
      <c r="C299">
        <v>24</v>
      </c>
      <c r="D299" s="1">
        <v>46033.229861111111</v>
      </c>
      <c r="E299">
        <v>799</v>
      </c>
      <c r="F299" t="s">
        <v>12</v>
      </c>
      <c r="G299" t="s">
        <v>10</v>
      </c>
      <c r="H299">
        <v>66</v>
      </c>
      <c r="I299" t="str">
        <f>IFERROR(VLOOKUP(C299,Merchants!$A$2:$D$41,2,FALSE),"Merchant not found")</f>
        <v>Merchant_024</v>
      </c>
      <c r="J299" t="str">
        <f>IFERROR(VLOOKUP(C299,Merchants!$A$2:$D$41,3,FALSE),"Merchant not found")</f>
        <v>grocery</v>
      </c>
      <c r="K299" t="str">
        <f>IFERROR(VLOOKUP(C299,Merchants!$A$2:$D$41,4,FALSE), "Merchant Not Fount")</f>
        <v>North</v>
      </c>
      <c r="L299" s="2">
        <f>HLOOKUP(F299,HLOOKUP_Reference!$A$1:$E$2,2,FALSE)</f>
        <v>2E-3</v>
      </c>
      <c r="M299">
        <f>SUMIFS(Daily_Merchant_Pivot!$E:$E,Daily_Merchant_Pivot!$A:$A,C299,Daily_Merchant_Pivot!$D:$D,INT(D299))</f>
        <v>799</v>
      </c>
      <c r="N299" t="str">
        <f t="shared" si="8"/>
        <v>Normal Merchant Day</v>
      </c>
      <c r="O299" s="7">
        <f t="shared" si="9"/>
        <v>46033</v>
      </c>
    </row>
    <row r="300" spans="1:15" x14ac:dyDescent="0.3">
      <c r="A300" t="s">
        <v>313</v>
      </c>
      <c r="B300">
        <v>218</v>
      </c>
      <c r="C300">
        <v>6</v>
      </c>
      <c r="D300" s="1">
        <v>46031.115277777775</v>
      </c>
      <c r="E300">
        <v>99</v>
      </c>
      <c r="F300" t="s">
        <v>12</v>
      </c>
      <c r="G300" t="s">
        <v>10</v>
      </c>
      <c r="H300">
        <v>55</v>
      </c>
      <c r="I300" t="str">
        <f>IFERROR(VLOOKUP(C300,Merchants!$A$2:$D$41,2,FALSE),"Merchant not found")</f>
        <v>Merchant_006</v>
      </c>
      <c r="J300" t="str">
        <f>IFERROR(VLOOKUP(C300,Merchants!$A$2:$D$41,3,FALSE),"Merchant not found")</f>
        <v>food_delivery</v>
      </c>
      <c r="K300" t="str">
        <f>IFERROR(VLOOKUP(C300,Merchants!$A$2:$D$41,4,FALSE), "Merchant Not Fount")</f>
        <v>South</v>
      </c>
      <c r="L300" s="2">
        <f>HLOOKUP(F300,HLOOKUP_Reference!$A$1:$E$2,2,FALSE)</f>
        <v>2E-3</v>
      </c>
      <c r="M300">
        <f>SUMIFS(Daily_Merchant_Pivot!$E:$E,Daily_Merchant_Pivot!$A:$A,C300,Daily_Merchant_Pivot!$D:$D,INT(D300))</f>
        <v>99</v>
      </c>
      <c r="N300" t="str">
        <f t="shared" si="8"/>
        <v>Normal Merchant Day</v>
      </c>
      <c r="O300" s="7">
        <f t="shared" si="9"/>
        <v>46031</v>
      </c>
    </row>
    <row r="301" spans="1:15" x14ac:dyDescent="0.3">
      <c r="A301" t="s">
        <v>314</v>
      </c>
      <c r="B301">
        <v>151</v>
      </c>
      <c r="C301">
        <v>21</v>
      </c>
      <c r="D301" s="1">
        <v>46042.231944444444</v>
      </c>
      <c r="E301">
        <v>49</v>
      </c>
      <c r="F301" t="s">
        <v>12</v>
      </c>
      <c r="G301" t="s">
        <v>10</v>
      </c>
      <c r="H301">
        <v>13</v>
      </c>
      <c r="I301" t="str">
        <f>IFERROR(VLOOKUP(C301,Merchants!$A$2:$D$41,2,FALSE),"Merchant not found")</f>
        <v>Merchant_021</v>
      </c>
      <c r="J301" t="str">
        <f>IFERROR(VLOOKUP(C301,Merchants!$A$2:$D$41,3,FALSE),"Merchant not found")</f>
        <v>food_delivery</v>
      </c>
      <c r="K301" t="str">
        <f>IFERROR(VLOOKUP(C301,Merchants!$A$2:$D$41,4,FALSE), "Merchant Not Fount")</f>
        <v>East</v>
      </c>
      <c r="L301" s="2">
        <f>HLOOKUP(F301,HLOOKUP_Reference!$A$1:$E$2,2,FALSE)</f>
        <v>2E-3</v>
      </c>
      <c r="M301">
        <f>SUMIFS(Daily_Merchant_Pivot!$E:$E,Daily_Merchant_Pivot!$A:$A,C301,Daily_Merchant_Pivot!$D:$D,INT(D301))</f>
        <v>49</v>
      </c>
      <c r="N301" t="str">
        <f t="shared" si="8"/>
        <v>Normal Merchant Day</v>
      </c>
      <c r="O301" s="7">
        <f t="shared" si="9"/>
        <v>46042</v>
      </c>
    </row>
    <row r="302" spans="1:15" x14ac:dyDescent="0.3">
      <c r="A302" t="s">
        <v>315</v>
      </c>
      <c r="B302">
        <v>152</v>
      </c>
      <c r="C302">
        <v>20</v>
      </c>
      <c r="D302" s="1">
        <v>46025.445833333331</v>
      </c>
      <c r="E302">
        <v>49</v>
      </c>
      <c r="F302" t="s">
        <v>12</v>
      </c>
      <c r="G302" t="s">
        <v>10</v>
      </c>
      <c r="H302">
        <v>57</v>
      </c>
      <c r="I302" t="str">
        <f>IFERROR(VLOOKUP(C302,Merchants!$A$2:$D$41,2,FALSE),"Merchant not found")</f>
        <v>Merchant_020</v>
      </c>
      <c r="J302" t="str">
        <f>IFERROR(VLOOKUP(C302,Merchants!$A$2:$D$41,3,FALSE),"Merchant not found")</f>
        <v>food_delivery</v>
      </c>
      <c r="K302" t="str">
        <f>IFERROR(VLOOKUP(C302,Merchants!$A$2:$D$41,4,FALSE), "Merchant Not Fount")</f>
        <v>East</v>
      </c>
      <c r="L302" s="2">
        <f>HLOOKUP(F302,HLOOKUP_Reference!$A$1:$E$2,2,FALSE)</f>
        <v>2E-3</v>
      </c>
      <c r="M302">
        <f>SUMIFS(Daily_Merchant_Pivot!$E:$E,Daily_Merchant_Pivot!$A:$A,C302,Daily_Merchant_Pivot!$D:$D,INT(D302))</f>
        <v>348</v>
      </c>
      <c r="N302" t="str">
        <f t="shared" si="8"/>
        <v>Normal Merchant Day</v>
      </c>
      <c r="O302" s="7">
        <f t="shared" si="9"/>
        <v>46025</v>
      </c>
    </row>
    <row r="303" spans="1:15" x14ac:dyDescent="0.3">
      <c r="A303" t="s">
        <v>316</v>
      </c>
      <c r="B303">
        <v>86</v>
      </c>
      <c r="C303">
        <v>29</v>
      </c>
      <c r="D303" s="1">
        <v>46042.935416666667</v>
      </c>
      <c r="E303">
        <v>149</v>
      </c>
      <c r="F303" t="s">
        <v>24</v>
      </c>
      <c r="G303" t="s">
        <v>10</v>
      </c>
      <c r="H303">
        <v>44</v>
      </c>
      <c r="I303" t="str">
        <f>IFERROR(VLOOKUP(C303,Merchants!$A$2:$D$41,2,FALSE),"Merchant not found")</f>
        <v>Merchant_029</v>
      </c>
      <c r="J303" t="str">
        <f>IFERROR(VLOOKUP(C303,Merchants!$A$2:$D$41,3,FALSE),"Merchant not found")</f>
        <v>ecommerce</v>
      </c>
      <c r="K303" t="str">
        <f>IFERROR(VLOOKUP(C303,Merchants!$A$2:$D$41,4,FALSE), "Merchant Not Fount")</f>
        <v>North</v>
      </c>
      <c r="L303" s="2">
        <f>HLOOKUP(F303,HLOOKUP_Reference!$A$1:$E$2,2,FALSE)</f>
        <v>1.4999999999999999E-2</v>
      </c>
      <c r="M303">
        <f>SUMIFS(Daily_Merchant_Pivot!$E:$E,Daily_Merchant_Pivot!$A:$A,C303,Daily_Merchant_Pivot!$D:$D,INT(D303))</f>
        <v>149</v>
      </c>
      <c r="N303" t="str">
        <f t="shared" si="8"/>
        <v>Normal Merchant Day</v>
      </c>
      <c r="O303" s="7">
        <f t="shared" si="9"/>
        <v>46042</v>
      </c>
    </row>
    <row r="304" spans="1:15" x14ac:dyDescent="0.3">
      <c r="A304" t="s">
        <v>317</v>
      </c>
      <c r="B304">
        <v>181</v>
      </c>
      <c r="C304">
        <v>40</v>
      </c>
      <c r="D304" s="1">
        <v>46037.073611111111</v>
      </c>
      <c r="E304">
        <v>149</v>
      </c>
      <c r="F304" t="s">
        <v>12</v>
      </c>
      <c r="G304" t="s">
        <v>10</v>
      </c>
      <c r="H304">
        <v>55</v>
      </c>
      <c r="I304" t="str">
        <f>IFERROR(VLOOKUP(C304,Merchants!$A$2:$D$41,2,FALSE),"Merchant not found")</f>
        <v>Merchant_040</v>
      </c>
      <c r="J304" t="str">
        <f>IFERROR(VLOOKUP(C304,Merchants!$A$2:$D$41,3,FALSE),"Merchant not found")</f>
        <v>entertainment</v>
      </c>
      <c r="K304" t="str">
        <f>IFERROR(VLOOKUP(C304,Merchants!$A$2:$D$41,4,FALSE), "Merchant Not Fount")</f>
        <v>South</v>
      </c>
      <c r="L304" s="2">
        <f>HLOOKUP(F304,HLOOKUP_Reference!$A$1:$E$2,2,FALSE)</f>
        <v>2E-3</v>
      </c>
      <c r="M304">
        <f>SUMIFS(Daily_Merchant_Pivot!$E:$E,Daily_Merchant_Pivot!$A:$A,C304,Daily_Merchant_Pivot!$D:$D,INT(D304))</f>
        <v>149</v>
      </c>
      <c r="N304" t="str">
        <f t="shared" si="8"/>
        <v>Normal Merchant Day</v>
      </c>
      <c r="O304" s="7">
        <f t="shared" si="9"/>
        <v>46037</v>
      </c>
    </row>
    <row r="305" spans="1:15" x14ac:dyDescent="0.3">
      <c r="A305" t="s">
        <v>318</v>
      </c>
      <c r="B305">
        <v>30</v>
      </c>
      <c r="C305">
        <v>5</v>
      </c>
      <c r="D305" s="1">
        <v>46031.868055555555</v>
      </c>
      <c r="E305">
        <v>299</v>
      </c>
      <c r="F305" t="s">
        <v>12</v>
      </c>
      <c r="G305" t="s">
        <v>10</v>
      </c>
      <c r="H305">
        <v>85</v>
      </c>
      <c r="I305" t="str">
        <f>IFERROR(VLOOKUP(C305,Merchants!$A$2:$D$41,2,FALSE),"Merchant not found")</f>
        <v>Merchant_005</v>
      </c>
      <c r="J305" t="str">
        <f>IFERROR(VLOOKUP(C305,Merchants!$A$2:$D$41,3,FALSE),"Merchant not found")</f>
        <v>recharge</v>
      </c>
      <c r="K305" t="str">
        <f>IFERROR(VLOOKUP(C305,Merchants!$A$2:$D$41,4,FALSE), "Merchant Not Fount")</f>
        <v>South</v>
      </c>
      <c r="L305" s="2">
        <f>HLOOKUP(F305,HLOOKUP_Reference!$A$1:$E$2,2,FALSE)</f>
        <v>2E-3</v>
      </c>
      <c r="M305">
        <f>SUMIFS(Daily_Merchant_Pivot!$E:$E,Daily_Merchant_Pivot!$A:$A,C305,Daily_Merchant_Pivot!$D:$D,INT(D305))</f>
        <v>348</v>
      </c>
      <c r="N305" t="str">
        <f t="shared" si="8"/>
        <v>Normal Merchant Day</v>
      </c>
      <c r="O305" s="7">
        <f t="shared" si="9"/>
        <v>46031</v>
      </c>
    </row>
    <row r="306" spans="1:15" x14ac:dyDescent="0.3">
      <c r="A306" t="s">
        <v>319</v>
      </c>
      <c r="B306">
        <v>263</v>
      </c>
      <c r="C306">
        <v>11</v>
      </c>
      <c r="D306" s="1">
        <v>46043.515972222223</v>
      </c>
      <c r="E306">
        <v>149</v>
      </c>
      <c r="F306" t="s">
        <v>9</v>
      </c>
      <c r="G306" t="s">
        <v>10</v>
      </c>
      <c r="H306">
        <v>3</v>
      </c>
      <c r="I306" t="str">
        <f>IFERROR(VLOOKUP(C306,Merchants!$A$2:$D$41,2,FALSE),"Merchant not found")</f>
        <v>Merchant_011</v>
      </c>
      <c r="J306" t="str">
        <f>IFERROR(VLOOKUP(C306,Merchants!$A$2:$D$41,3,FALSE),"Merchant not found")</f>
        <v>ecommerce</v>
      </c>
      <c r="K306" t="str">
        <f>IFERROR(VLOOKUP(C306,Merchants!$A$2:$D$41,4,FALSE), "Merchant Not Fount")</f>
        <v>North</v>
      </c>
      <c r="L306" s="2">
        <f>HLOOKUP(F306,HLOOKUP_Reference!$A$1:$E$2,2,FALSE)</f>
        <v>6.4999999999999997E-3</v>
      </c>
      <c r="M306">
        <f>SUMIFS(Daily_Merchant_Pivot!$E:$E,Daily_Merchant_Pivot!$A:$A,C306,Daily_Merchant_Pivot!$D:$D,INT(D306))</f>
        <v>149</v>
      </c>
      <c r="N306" t="str">
        <f t="shared" si="8"/>
        <v>Normal Merchant Day</v>
      </c>
      <c r="O306" s="7">
        <f t="shared" si="9"/>
        <v>46043</v>
      </c>
    </row>
    <row r="307" spans="1:15" x14ac:dyDescent="0.3">
      <c r="A307" t="s">
        <v>320</v>
      </c>
      <c r="B307">
        <v>225</v>
      </c>
      <c r="C307">
        <v>3</v>
      </c>
      <c r="D307" s="1">
        <v>46027.821527777778</v>
      </c>
      <c r="E307">
        <v>99</v>
      </c>
      <c r="F307" t="s">
        <v>15</v>
      </c>
      <c r="G307" t="s">
        <v>10</v>
      </c>
      <c r="H307">
        <v>16</v>
      </c>
      <c r="I307" t="str">
        <f>IFERROR(VLOOKUP(C307,Merchants!$A$2:$D$41,2,FALSE),"Merchant not found")</f>
        <v>Merchant_003</v>
      </c>
      <c r="J307" t="str">
        <f>IFERROR(VLOOKUP(C307,Merchants!$A$2:$D$41,3,FALSE),"Merchant not found")</f>
        <v>grocery</v>
      </c>
      <c r="K307" t="str">
        <f>IFERROR(VLOOKUP(C307,Merchants!$A$2:$D$41,4,FALSE), "Merchant Not Fount")</f>
        <v>East</v>
      </c>
      <c r="L307" s="2">
        <f>HLOOKUP(F307,HLOOKUP_Reference!$A$1:$E$2,2,FALSE)</f>
        <v>0.01</v>
      </c>
      <c r="M307">
        <f>SUMIFS(Daily_Merchant_Pivot!$E:$E,Daily_Merchant_Pivot!$A:$A,C307,Daily_Merchant_Pivot!$D:$D,INT(D307))</f>
        <v>99</v>
      </c>
      <c r="N307" t="str">
        <f t="shared" si="8"/>
        <v>Normal Merchant Day</v>
      </c>
      <c r="O307" s="7">
        <f t="shared" si="9"/>
        <v>46027</v>
      </c>
    </row>
    <row r="308" spans="1:15" x14ac:dyDescent="0.3">
      <c r="A308" t="s">
        <v>321</v>
      </c>
      <c r="B308">
        <v>331</v>
      </c>
      <c r="C308">
        <v>24</v>
      </c>
      <c r="D308" s="1">
        <v>46025.325694444444</v>
      </c>
      <c r="E308">
        <v>49</v>
      </c>
      <c r="F308" t="s">
        <v>24</v>
      </c>
      <c r="G308" t="s">
        <v>10</v>
      </c>
      <c r="H308">
        <v>46</v>
      </c>
      <c r="I308" t="str">
        <f>IFERROR(VLOOKUP(C308,Merchants!$A$2:$D$41,2,FALSE),"Merchant not found")</f>
        <v>Merchant_024</v>
      </c>
      <c r="J308" t="str">
        <f>IFERROR(VLOOKUP(C308,Merchants!$A$2:$D$41,3,FALSE),"Merchant not found")</f>
        <v>grocery</v>
      </c>
      <c r="K308" t="str">
        <f>IFERROR(VLOOKUP(C308,Merchants!$A$2:$D$41,4,FALSE), "Merchant Not Fount")</f>
        <v>North</v>
      </c>
      <c r="L308" s="2">
        <f>HLOOKUP(F308,HLOOKUP_Reference!$A$1:$E$2,2,FALSE)</f>
        <v>1.4999999999999999E-2</v>
      </c>
      <c r="M308">
        <f>SUMIFS(Daily_Merchant_Pivot!$E:$E,Daily_Merchant_Pivot!$A:$A,C308,Daily_Merchant_Pivot!$D:$D,INT(D308))</f>
        <v>49</v>
      </c>
      <c r="N308" t="str">
        <f t="shared" si="8"/>
        <v>Normal Merchant Day</v>
      </c>
      <c r="O308" s="7">
        <f t="shared" si="9"/>
        <v>46025</v>
      </c>
    </row>
    <row r="309" spans="1:15" x14ac:dyDescent="0.3">
      <c r="A309" t="s">
        <v>322</v>
      </c>
      <c r="B309">
        <v>310</v>
      </c>
      <c r="C309">
        <v>10</v>
      </c>
      <c r="D309" s="1">
        <v>46035.751388888886</v>
      </c>
      <c r="E309">
        <v>1499</v>
      </c>
      <c r="F309" t="s">
        <v>24</v>
      </c>
      <c r="G309" t="s">
        <v>10</v>
      </c>
      <c r="H309">
        <v>86</v>
      </c>
      <c r="I309" t="str">
        <f>IFERROR(VLOOKUP(C309,Merchants!$A$2:$D$41,2,FALSE),"Merchant not found")</f>
        <v>Merchant_010</v>
      </c>
      <c r="J309" t="str">
        <f>IFERROR(VLOOKUP(C309,Merchants!$A$2:$D$41,3,FALSE),"Merchant not found")</f>
        <v>grocery</v>
      </c>
      <c r="K309" t="str">
        <f>IFERROR(VLOOKUP(C309,Merchants!$A$2:$D$41,4,FALSE), "Merchant Not Fount")</f>
        <v>West</v>
      </c>
      <c r="L309" s="2">
        <f>HLOOKUP(F309,HLOOKUP_Reference!$A$1:$E$2,2,FALSE)</f>
        <v>1.4999999999999999E-2</v>
      </c>
      <c r="M309">
        <f>SUMIFS(Daily_Merchant_Pivot!$E:$E,Daily_Merchant_Pivot!$A:$A,C309,Daily_Merchant_Pivot!$D:$D,INT(D309))</f>
        <v>1499</v>
      </c>
      <c r="N309" t="str">
        <f t="shared" si="8"/>
        <v>Normal Merchant Day</v>
      </c>
      <c r="O309" s="7">
        <f t="shared" si="9"/>
        <v>46035</v>
      </c>
    </row>
    <row r="310" spans="1:15" x14ac:dyDescent="0.3">
      <c r="A310" t="s">
        <v>323</v>
      </c>
      <c r="B310">
        <v>228</v>
      </c>
      <c r="C310">
        <v>5</v>
      </c>
      <c r="D310" s="1">
        <v>46037.474305555559</v>
      </c>
      <c r="E310">
        <v>49</v>
      </c>
      <c r="F310" t="s">
        <v>12</v>
      </c>
      <c r="G310" t="s">
        <v>10</v>
      </c>
      <c r="H310">
        <v>73</v>
      </c>
      <c r="I310" t="str">
        <f>IFERROR(VLOOKUP(C310,Merchants!$A$2:$D$41,2,FALSE),"Merchant not found")</f>
        <v>Merchant_005</v>
      </c>
      <c r="J310" t="str">
        <f>IFERROR(VLOOKUP(C310,Merchants!$A$2:$D$41,3,FALSE),"Merchant not found")</f>
        <v>recharge</v>
      </c>
      <c r="K310" t="str">
        <f>IFERROR(VLOOKUP(C310,Merchants!$A$2:$D$41,4,FALSE), "Merchant Not Fount")</f>
        <v>South</v>
      </c>
      <c r="L310" s="2">
        <f>HLOOKUP(F310,HLOOKUP_Reference!$A$1:$E$2,2,FALSE)</f>
        <v>2E-3</v>
      </c>
      <c r="M310">
        <f>SUMIFS(Daily_Merchant_Pivot!$E:$E,Daily_Merchant_Pivot!$A:$A,C310,Daily_Merchant_Pivot!$D:$D,INT(D310))</f>
        <v>548</v>
      </c>
      <c r="N310" t="str">
        <f t="shared" si="8"/>
        <v>Normal Merchant Day</v>
      </c>
      <c r="O310" s="7">
        <f t="shared" si="9"/>
        <v>46037</v>
      </c>
    </row>
    <row r="311" spans="1:15" x14ac:dyDescent="0.3">
      <c r="A311" t="s">
        <v>324</v>
      </c>
      <c r="B311">
        <v>204</v>
      </c>
      <c r="C311">
        <v>21</v>
      </c>
      <c r="D311" s="1">
        <v>46027.682638888888</v>
      </c>
      <c r="E311">
        <v>499</v>
      </c>
      <c r="F311" t="s">
        <v>12</v>
      </c>
      <c r="G311" t="s">
        <v>10</v>
      </c>
      <c r="H311">
        <v>83</v>
      </c>
      <c r="I311" t="str">
        <f>IFERROR(VLOOKUP(C311,Merchants!$A$2:$D$41,2,FALSE),"Merchant not found")</f>
        <v>Merchant_021</v>
      </c>
      <c r="J311" t="str">
        <f>IFERROR(VLOOKUP(C311,Merchants!$A$2:$D$41,3,FALSE),"Merchant not found")</f>
        <v>food_delivery</v>
      </c>
      <c r="K311" t="str">
        <f>IFERROR(VLOOKUP(C311,Merchants!$A$2:$D$41,4,FALSE), "Merchant Not Fount")</f>
        <v>East</v>
      </c>
      <c r="L311" s="2">
        <f>HLOOKUP(F311,HLOOKUP_Reference!$A$1:$E$2,2,FALSE)</f>
        <v>2E-3</v>
      </c>
      <c r="M311">
        <f>SUMIFS(Daily_Merchant_Pivot!$E:$E,Daily_Merchant_Pivot!$A:$A,C311,Daily_Merchant_Pivot!$D:$D,INT(D311))</f>
        <v>499</v>
      </c>
      <c r="N311" t="str">
        <f t="shared" si="8"/>
        <v>Normal Merchant Day</v>
      </c>
      <c r="O311" s="7">
        <f t="shared" si="9"/>
        <v>46027</v>
      </c>
    </row>
    <row r="312" spans="1:15" x14ac:dyDescent="0.3">
      <c r="A312" t="s">
        <v>325</v>
      </c>
      <c r="B312">
        <v>14</v>
      </c>
      <c r="C312">
        <v>12</v>
      </c>
      <c r="D312" s="1">
        <v>46031.296527777777</v>
      </c>
      <c r="E312">
        <v>799</v>
      </c>
      <c r="F312" t="s">
        <v>15</v>
      </c>
      <c r="G312" t="s">
        <v>10</v>
      </c>
      <c r="H312">
        <v>63</v>
      </c>
      <c r="I312" t="str">
        <f>IFERROR(VLOOKUP(C312,Merchants!$A$2:$D$41,2,FALSE),"Merchant not found")</f>
        <v>Merchant_012</v>
      </c>
      <c r="J312" t="str">
        <f>IFERROR(VLOOKUP(C312,Merchants!$A$2:$D$41,3,FALSE),"Merchant not found")</f>
        <v>ecommerce</v>
      </c>
      <c r="K312" t="str">
        <f>IFERROR(VLOOKUP(C312,Merchants!$A$2:$D$41,4,FALSE), "Merchant Not Fount")</f>
        <v>East</v>
      </c>
      <c r="L312" s="2">
        <f>HLOOKUP(F312,HLOOKUP_Reference!$A$1:$E$2,2,FALSE)</f>
        <v>0.01</v>
      </c>
      <c r="M312">
        <f>SUMIFS(Daily_Merchant_Pivot!$E:$E,Daily_Merchant_Pivot!$A:$A,C312,Daily_Merchant_Pivot!$D:$D,INT(D312))</f>
        <v>799</v>
      </c>
      <c r="N312" t="str">
        <f t="shared" si="8"/>
        <v>Normal Merchant Day</v>
      </c>
      <c r="O312" s="7">
        <f t="shared" si="9"/>
        <v>46031</v>
      </c>
    </row>
    <row r="313" spans="1:15" x14ac:dyDescent="0.3">
      <c r="A313" t="s">
        <v>326</v>
      </c>
      <c r="B313">
        <v>288</v>
      </c>
      <c r="C313">
        <v>8</v>
      </c>
      <c r="D313" s="1">
        <v>46039.540277777778</v>
      </c>
      <c r="E313">
        <v>49</v>
      </c>
      <c r="F313" t="s">
        <v>12</v>
      </c>
      <c r="G313" t="s">
        <v>10</v>
      </c>
      <c r="H313">
        <v>33</v>
      </c>
      <c r="I313" t="str">
        <f>IFERROR(VLOOKUP(C313,Merchants!$A$2:$D$41,2,FALSE),"Merchant not found")</f>
        <v>Merchant_008</v>
      </c>
      <c r="J313" t="str">
        <f>IFERROR(VLOOKUP(C313,Merchants!$A$2:$D$41,3,FALSE),"Merchant not found")</f>
        <v>food_delivery</v>
      </c>
      <c r="K313" t="str">
        <f>IFERROR(VLOOKUP(C313,Merchants!$A$2:$D$41,4,FALSE), "Merchant Not Fount")</f>
        <v>North</v>
      </c>
      <c r="L313" s="2">
        <f>HLOOKUP(F313,HLOOKUP_Reference!$A$1:$E$2,2,FALSE)</f>
        <v>2E-3</v>
      </c>
      <c r="M313">
        <f>SUMIFS(Daily_Merchant_Pivot!$E:$E,Daily_Merchant_Pivot!$A:$A,C313,Daily_Merchant_Pivot!$D:$D,INT(D313))</f>
        <v>348</v>
      </c>
      <c r="N313" t="str">
        <f t="shared" si="8"/>
        <v>Normal Merchant Day</v>
      </c>
      <c r="O313" s="7">
        <f t="shared" si="9"/>
        <v>46039</v>
      </c>
    </row>
    <row r="314" spans="1:15" x14ac:dyDescent="0.3">
      <c r="A314" t="s">
        <v>327</v>
      </c>
      <c r="B314">
        <v>229</v>
      </c>
      <c r="C314">
        <v>14</v>
      </c>
      <c r="D314" s="1">
        <v>46047.364583333336</v>
      </c>
      <c r="E314">
        <v>1499</v>
      </c>
      <c r="F314" t="s">
        <v>12</v>
      </c>
      <c r="G314" t="s">
        <v>10</v>
      </c>
      <c r="H314">
        <v>78</v>
      </c>
      <c r="I314" t="str">
        <f>IFERROR(VLOOKUP(C314,Merchants!$A$2:$D$41,2,FALSE),"Merchant not found")</f>
        <v>Merchant_014</v>
      </c>
      <c r="J314" t="str">
        <f>IFERROR(VLOOKUP(C314,Merchants!$A$2:$D$41,3,FALSE),"Merchant not found")</f>
        <v>grocery</v>
      </c>
      <c r="K314" t="str">
        <f>IFERROR(VLOOKUP(C314,Merchants!$A$2:$D$41,4,FALSE), "Merchant Not Fount")</f>
        <v>East</v>
      </c>
      <c r="L314" s="2">
        <f>HLOOKUP(F314,HLOOKUP_Reference!$A$1:$E$2,2,FALSE)</f>
        <v>2E-3</v>
      </c>
      <c r="M314">
        <f>SUMIFS(Daily_Merchant_Pivot!$E:$E,Daily_Merchant_Pivot!$A:$A,C314,Daily_Merchant_Pivot!$D:$D,INT(D314))</f>
        <v>1598</v>
      </c>
      <c r="N314" t="str">
        <f t="shared" si="8"/>
        <v>Normal Merchant Day</v>
      </c>
      <c r="O314" s="7">
        <f t="shared" si="9"/>
        <v>46047</v>
      </c>
    </row>
    <row r="315" spans="1:15" x14ac:dyDescent="0.3">
      <c r="A315" t="s">
        <v>328</v>
      </c>
      <c r="B315">
        <v>252</v>
      </c>
      <c r="C315">
        <v>13</v>
      </c>
      <c r="D315" s="1">
        <v>46032.956944444442</v>
      </c>
      <c r="E315">
        <v>99</v>
      </c>
      <c r="F315" t="s">
        <v>9</v>
      </c>
      <c r="G315" t="s">
        <v>10</v>
      </c>
      <c r="H315">
        <v>15</v>
      </c>
      <c r="I315" t="str">
        <f>IFERROR(VLOOKUP(C315,Merchants!$A$2:$D$41,2,FALSE),"Merchant not found")</f>
        <v>Merchant_013</v>
      </c>
      <c r="J315" t="str">
        <f>IFERROR(VLOOKUP(C315,Merchants!$A$2:$D$41,3,FALSE),"Merchant not found")</f>
        <v>travel</v>
      </c>
      <c r="K315" t="str">
        <f>IFERROR(VLOOKUP(C315,Merchants!$A$2:$D$41,4,FALSE), "Merchant Not Fount")</f>
        <v>East</v>
      </c>
      <c r="L315" s="2">
        <f>HLOOKUP(F315,HLOOKUP_Reference!$A$1:$E$2,2,FALSE)</f>
        <v>6.4999999999999997E-3</v>
      </c>
      <c r="M315">
        <f>SUMIFS(Daily_Merchant_Pivot!$E:$E,Daily_Merchant_Pivot!$A:$A,C315,Daily_Merchant_Pivot!$D:$D,INT(D315))</f>
        <v>99</v>
      </c>
      <c r="N315" t="str">
        <f t="shared" si="8"/>
        <v>Normal Merchant Day</v>
      </c>
      <c r="O315" s="7">
        <f t="shared" si="9"/>
        <v>46032</v>
      </c>
    </row>
    <row r="316" spans="1:15" x14ac:dyDescent="0.3">
      <c r="A316" t="s">
        <v>329</v>
      </c>
      <c r="B316">
        <v>89</v>
      </c>
      <c r="C316">
        <v>29</v>
      </c>
      <c r="D316" s="1">
        <v>46027.102777777778</v>
      </c>
      <c r="E316">
        <v>799</v>
      </c>
      <c r="F316" t="s">
        <v>12</v>
      </c>
      <c r="G316" t="s">
        <v>10</v>
      </c>
      <c r="H316">
        <v>11</v>
      </c>
      <c r="I316" t="str">
        <f>IFERROR(VLOOKUP(C316,Merchants!$A$2:$D$41,2,FALSE),"Merchant not found")</f>
        <v>Merchant_029</v>
      </c>
      <c r="J316" t="str">
        <f>IFERROR(VLOOKUP(C316,Merchants!$A$2:$D$41,3,FALSE),"Merchant not found")</f>
        <v>ecommerce</v>
      </c>
      <c r="K316" t="str">
        <f>IFERROR(VLOOKUP(C316,Merchants!$A$2:$D$41,4,FALSE), "Merchant Not Fount")</f>
        <v>North</v>
      </c>
      <c r="L316" s="2">
        <f>HLOOKUP(F316,HLOOKUP_Reference!$A$1:$E$2,2,FALSE)</f>
        <v>2E-3</v>
      </c>
      <c r="M316">
        <f>SUMIFS(Daily_Merchant_Pivot!$E:$E,Daily_Merchant_Pivot!$A:$A,C316,Daily_Merchant_Pivot!$D:$D,INT(D316))</f>
        <v>799</v>
      </c>
      <c r="N316" t="str">
        <f t="shared" si="8"/>
        <v>Normal Merchant Day</v>
      </c>
      <c r="O316" s="7">
        <f t="shared" si="9"/>
        <v>46027</v>
      </c>
    </row>
    <row r="317" spans="1:15" x14ac:dyDescent="0.3">
      <c r="A317" t="s">
        <v>330</v>
      </c>
      <c r="B317">
        <v>164</v>
      </c>
      <c r="C317">
        <v>23</v>
      </c>
      <c r="D317" s="1">
        <v>46048.912499999999</v>
      </c>
      <c r="E317">
        <v>49</v>
      </c>
      <c r="F317" t="s">
        <v>15</v>
      </c>
      <c r="G317" t="s">
        <v>10</v>
      </c>
      <c r="H317">
        <v>90</v>
      </c>
      <c r="I317" t="str">
        <f>IFERROR(VLOOKUP(C317,Merchants!$A$2:$D$41,2,FALSE),"Merchant not found")</f>
        <v>Merchant_023</v>
      </c>
      <c r="J317" t="str">
        <f>IFERROR(VLOOKUP(C317,Merchants!$A$2:$D$41,3,FALSE),"Merchant not found")</f>
        <v>travel</v>
      </c>
      <c r="K317" t="str">
        <f>IFERROR(VLOOKUP(C317,Merchants!$A$2:$D$41,4,FALSE), "Merchant Not Fount")</f>
        <v>North</v>
      </c>
      <c r="L317" s="2">
        <f>HLOOKUP(F317,HLOOKUP_Reference!$A$1:$E$2,2,FALSE)</f>
        <v>0.01</v>
      </c>
      <c r="M317">
        <f>SUMIFS(Daily_Merchant_Pivot!$E:$E,Daily_Merchant_Pivot!$A:$A,C317,Daily_Merchant_Pivot!$D:$D,INT(D317))</f>
        <v>49</v>
      </c>
      <c r="N317" t="str">
        <f t="shared" si="8"/>
        <v>Normal Merchant Day</v>
      </c>
      <c r="O317" s="7">
        <f t="shared" si="9"/>
        <v>46048</v>
      </c>
    </row>
    <row r="318" spans="1:15" x14ac:dyDescent="0.3">
      <c r="A318" t="s">
        <v>331</v>
      </c>
      <c r="B318">
        <v>149</v>
      </c>
      <c r="C318">
        <v>20</v>
      </c>
      <c r="D318" s="1">
        <v>46025.731944444444</v>
      </c>
      <c r="E318">
        <v>299</v>
      </c>
      <c r="F318" t="s">
        <v>9</v>
      </c>
      <c r="G318" t="s">
        <v>10</v>
      </c>
      <c r="H318">
        <v>20</v>
      </c>
      <c r="I318" t="str">
        <f>IFERROR(VLOOKUP(C318,Merchants!$A$2:$D$41,2,FALSE),"Merchant not found")</f>
        <v>Merchant_020</v>
      </c>
      <c r="J318" t="str">
        <f>IFERROR(VLOOKUP(C318,Merchants!$A$2:$D$41,3,FALSE),"Merchant not found")</f>
        <v>food_delivery</v>
      </c>
      <c r="K318" t="str">
        <f>IFERROR(VLOOKUP(C318,Merchants!$A$2:$D$41,4,FALSE), "Merchant Not Fount")</f>
        <v>East</v>
      </c>
      <c r="L318" s="2">
        <f>HLOOKUP(F318,HLOOKUP_Reference!$A$1:$E$2,2,FALSE)</f>
        <v>6.4999999999999997E-3</v>
      </c>
      <c r="M318">
        <f>SUMIFS(Daily_Merchant_Pivot!$E:$E,Daily_Merchant_Pivot!$A:$A,C318,Daily_Merchant_Pivot!$D:$D,INT(D318))</f>
        <v>348</v>
      </c>
      <c r="N318" t="str">
        <f t="shared" si="8"/>
        <v>Normal Merchant Day</v>
      </c>
      <c r="O318" s="7">
        <f t="shared" si="9"/>
        <v>46025</v>
      </c>
    </row>
    <row r="319" spans="1:15" x14ac:dyDescent="0.3">
      <c r="A319" t="s">
        <v>332</v>
      </c>
      <c r="B319">
        <v>327</v>
      </c>
      <c r="C319">
        <v>12</v>
      </c>
      <c r="D319" s="1">
        <v>46045.957638888889</v>
      </c>
      <c r="E319">
        <v>49</v>
      </c>
      <c r="F319" t="s">
        <v>15</v>
      </c>
      <c r="G319" t="s">
        <v>10</v>
      </c>
      <c r="H319">
        <v>46</v>
      </c>
      <c r="I319" t="str">
        <f>IFERROR(VLOOKUP(C319,Merchants!$A$2:$D$41,2,FALSE),"Merchant not found")</f>
        <v>Merchant_012</v>
      </c>
      <c r="J319" t="str">
        <f>IFERROR(VLOOKUP(C319,Merchants!$A$2:$D$41,3,FALSE),"Merchant not found")</f>
        <v>ecommerce</v>
      </c>
      <c r="K319" t="str">
        <f>IFERROR(VLOOKUP(C319,Merchants!$A$2:$D$41,4,FALSE), "Merchant Not Fount")</f>
        <v>East</v>
      </c>
      <c r="L319" s="2">
        <f>HLOOKUP(F319,HLOOKUP_Reference!$A$1:$E$2,2,FALSE)</f>
        <v>0.01</v>
      </c>
      <c r="M319">
        <f>SUMIFS(Daily_Merchant_Pivot!$E:$E,Daily_Merchant_Pivot!$A:$A,C319,Daily_Merchant_Pivot!$D:$D,INT(D319))</f>
        <v>448</v>
      </c>
      <c r="N319" t="str">
        <f t="shared" si="8"/>
        <v>Normal Merchant Day</v>
      </c>
      <c r="O319" s="7">
        <f t="shared" si="9"/>
        <v>46045</v>
      </c>
    </row>
    <row r="320" spans="1:15" x14ac:dyDescent="0.3">
      <c r="A320" t="s">
        <v>333</v>
      </c>
      <c r="B320">
        <v>103</v>
      </c>
      <c r="C320">
        <v>9</v>
      </c>
      <c r="D320" s="1">
        <v>46039.296527777777</v>
      </c>
      <c r="E320">
        <v>149</v>
      </c>
      <c r="F320" t="s">
        <v>12</v>
      </c>
      <c r="G320" t="s">
        <v>10</v>
      </c>
      <c r="H320">
        <v>30</v>
      </c>
      <c r="I320" t="str">
        <f>IFERROR(VLOOKUP(C320,Merchants!$A$2:$D$41,2,FALSE),"Merchant not found")</f>
        <v>Merchant_009</v>
      </c>
      <c r="J320" t="str">
        <f>IFERROR(VLOOKUP(C320,Merchants!$A$2:$D$41,3,FALSE),"Merchant not found")</f>
        <v>ecommerce</v>
      </c>
      <c r="K320" t="str">
        <f>IFERROR(VLOOKUP(C320,Merchants!$A$2:$D$41,4,FALSE), "Merchant Not Fount")</f>
        <v>North</v>
      </c>
      <c r="L320" s="2">
        <f>HLOOKUP(F320,HLOOKUP_Reference!$A$1:$E$2,2,FALSE)</f>
        <v>2E-3</v>
      </c>
      <c r="M320">
        <f>SUMIFS(Daily_Merchant_Pivot!$E:$E,Daily_Merchant_Pivot!$A:$A,C320,Daily_Merchant_Pivot!$D:$D,INT(D320))</f>
        <v>248</v>
      </c>
      <c r="N320" t="str">
        <f t="shared" si="8"/>
        <v>Normal Merchant Day</v>
      </c>
      <c r="O320" s="7">
        <f t="shared" si="9"/>
        <v>46039</v>
      </c>
    </row>
    <row r="321" spans="1:15" x14ac:dyDescent="0.3">
      <c r="A321" t="s">
        <v>334</v>
      </c>
      <c r="B321">
        <v>185</v>
      </c>
      <c r="C321">
        <v>36</v>
      </c>
      <c r="D321" s="1">
        <v>46048.625694444447</v>
      </c>
      <c r="E321">
        <v>49</v>
      </c>
      <c r="F321" t="s">
        <v>9</v>
      </c>
      <c r="G321" t="s">
        <v>10</v>
      </c>
      <c r="H321">
        <v>73</v>
      </c>
      <c r="I321" t="str">
        <f>IFERROR(VLOOKUP(C321,Merchants!$A$2:$D$41,2,FALSE),"Merchant not found")</f>
        <v>Merchant_036</v>
      </c>
      <c r="J321" t="str">
        <f>IFERROR(VLOOKUP(C321,Merchants!$A$2:$D$41,3,FALSE),"Merchant not found")</f>
        <v>entertainment</v>
      </c>
      <c r="K321" t="str">
        <f>IFERROR(VLOOKUP(C321,Merchants!$A$2:$D$41,4,FALSE), "Merchant Not Fount")</f>
        <v>East</v>
      </c>
      <c r="L321" s="2">
        <f>HLOOKUP(F321,HLOOKUP_Reference!$A$1:$E$2,2,FALSE)</f>
        <v>6.4999999999999997E-3</v>
      </c>
      <c r="M321">
        <f>SUMIFS(Daily_Merchant_Pivot!$E:$E,Daily_Merchant_Pivot!$A:$A,C321,Daily_Merchant_Pivot!$D:$D,INT(D321))</f>
        <v>198</v>
      </c>
      <c r="N321" t="str">
        <f t="shared" si="8"/>
        <v>Normal Merchant Day</v>
      </c>
      <c r="O321" s="7">
        <f t="shared" si="9"/>
        <v>46048</v>
      </c>
    </row>
    <row r="322" spans="1:15" x14ac:dyDescent="0.3">
      <c r="A322" t="s">
        <v>335</v>
      </c>
      <c r="B322">
        <v>283</v>
      </c>
      <c r="C322">
        <v>9</v>
      </c>
      <c r="D322" s="1">
        <v>46034.618750000001</v>
      </c>
      <c r="E322">
        <v>299</v>
      </c>
      <c r="F322" t="s">
        <v>12</v>
      </c>
      <c r="G322" t="s">
        <v>10</v>
      </c>
      <c r="H322">
        <v>78</v>
      </c>
      <c r="I322" t="str">
        <f>IFERROR(VLOOKUP(C322,Merchants!$A$2:$D$41,2,FALSE),"Merchant not found")</f>
        <v>Merchant_009</v>
      </c>
      <c r="J322" t="str">
        <f>IFERROR(VLOOKUP(C322,Merchants!$A$2:$D$41,3,FALSE),"Merchant not found")</f>
        <v>ecommerce</v>
      </c>
      <c r="K322" t="str">
        <f>IFERROR(VLOOKUP(C322,Merchants!$A$2:$D$41,4,FALSE), "Merchant Not Fount")</f>
        <v>North</v>
      </c>
      <c r="L322" s="2">
        <f>HLOOKUP(F322,HLOOKUP_Reference!$A$1:$E$2,2,FALSE)</f>
        <v>2E-3</v>
      </c>
      <c r="M322">
        <f>SUMIFS(Daily_Merchant_Pivot!$E:$E,Daily_Merchant_Pivot!$A:$A,C322,Daily_Merchant_Pivot!$D:$D,INT(D322))</f>
        <v>299</v>
      </c>
      <c r="N322" t="str">
        <f t="shared" si="8"/>
        <v>Normal Merchant Day</v>
      </c>
      <c r="O322" s="7">
        <f t="shared" si="9"/>
        <v>46034</v>
      </c>
    </row>
    <row r="323" spans="1:15" x14ac:dyDescent="0.3">
      <c r="A323" t="s">
        <v>336</v>
      </c>
      <c r="B323">
        <v>159</v>
      </c>
      <c r="C323">
        <v>26</v>
      </c>
      <c r="D323" s="1">
        <v>46051.086111111108</v>
      </c>
      <c r="E323">
        <v>99</v>
      </c>
      <c r="F323" t="s">
        <v>12</v>
      </c>
      <c r="G323" t="s">
        <v>10</v>
      </c>
      <c r="H323">
        <v>91</v>
      </c>
      <c r="I323" t="str">
        <f>IFERROR(VLOOKUP(C323,Merchants!$A$2:$D$41,2,FALSE),"Merchant not found")</f>
        <v>Merchant_026</v>
      </c>
      <c r="J323" t="str">
        <f>IFERROR(VLOOKUP(C323,Merchants!$A$2:$D$41,3,FALSE),"Merchant not found")</f>
        <v>food_delivery</v>
      </c>
      <c r="K323" t="str">
        <f>IFERROR(VLOOKUP(C323,Merchants!$A$2:$D$41,4,FALSE), "Merchant Not Fount")</f>
        <v>East</v>
      </c>
      <c r="L323" s="2">
        <f>HLOOKUP(F323,HLOOKUP_Reference!$A$1:$E$2,2,FALSE)</f>
        <v>2E-3</v>
      </c>
      <c r="M323">
        <f>SUMIFS(Daily_Merchant_Pivot!$E:$E,Daily_Merchant_Pivot!$A:$A,C323,Daily_Merchant_Pivot!$D:$D,INT(D323))</f>
        <v>148</v>
      </c>
      <c r="N323" t="str">
        <f t="shared" ref="N323:N386" si="10">IF(AND(M323&gt;5000,K323&lt;&gt;"East"),"High-Value Merchant Day","Normal Merchant Day")</f>
        <v>Normal Merchant Day</v>
      </c>
      <c r="O323" s="7">
        <f t="shared" ref="O323:O386" si="11">INT(D323)</f>
        <v>46051</v>
      </c>
    </row>
    <row r="324" spans="1:15" x14ac:dyDescent="0.3">
      <c r="A324" t="s">
        <v>337</v>
      </c>
      <c r="B324">
        <v>211</v>
      </c>
      <c r="C324">
        <v>27</v>
      </c>
      <c r="D324" s="1">
        <v>46046.647916666669</v>
      </c>
      <c r="E324">
        <v>99</v>
      </c>
      <c r="F324" t="s">
        <v>9</v>
      </c>
      <c r="G324" t="s">
        <v>10</v>
      </c>
      <c r="H324">
        <v>73</v>
      </c>
      <c r="I324" t="str">
        <f>IFERROR(VLOOKUP(C324,Merchants!$A$2:$D$41,2,FALSE),"Merchant not found")</f>
        <v>Merchant_027</v>
      </c>
      <c r="J324" t="str">
        <f>IFERROR(VLOOKUP(C324,Merchants!$A$2:$D$41,3,FALSE),"Merchant not found")</f>
        <v>ecommerce</v>
      </c>
      <c r="K324" t="str">
        <f>IFERROR(VLOOKUP(C324,Merchants!$A$2:$D$41,4,FALSE), "Merchant Not Fount")</f>
        <v>North</v>
      </c>
      <c r="L324" s="2">
        <f>HLOOKUP(F324,HLOOKUP_Reference!$A$1:$E$2,2,FALSE)</f>
        <v>6.4999999999999997E-3</v>
      </c>
      <c r="M324">
        <f>SUMIFS(Daily_Merchant_Pivot!$E:$E,Daily_Merchant_Pivot!$A:$A,C324,Daily_Merchant_Pivot!$D:$D,INT(D324))</f>
        <v>99</v>
      </c>
      <c r="N324" t="str">
        <f t="shared" si="10"/>
        <v>Normal Merchant Day</v>
      </c>
      <c r="O324" s="7">
        <f t="shared" si="11"/>
        <v>46046</v>
      </c>
    </row>
    <row r="325" spans="1:15" x14ac:dyDescent="0.3">
      <c r="A325" t="s">
        <v>338</v>
      </c>
      <c r="B325">
        <v>329</v>
      </c>
      <c r="C325">
        <v>5</v>
      </c>
      <c r="D325" s="1">
        <v>46025.180555555555</v>
      </c>
      <c r="E325">
        <v>499</v>
      </c>
      <c r="F325" t="s">
        <v>15</v>
      </c>
      <c r="G325" t="s">
        <v>10</v>
      </c>
      <c r="H325">
        <v>57</v>
      </c>
      <c r="I325" t="str">
        <f>IFERROR(VLOOKUP(C325,Merchants!$A$2:$D$41,2,FALSE),"Merchant not found")</f>
        <v>Merchant_005</v>
      </c>
      <c r="J325" t="str">
        <f>IFERROR(VLOOKUP(C325,Merchants!$A$2:$D$41,3,FALSE),"Merchant not found")</f>
        <v>recharge</v>
      </c>
      <c r="K325" t="str">
        <f>IFERROR(VLOOKUP(C325,Merchants!$A$2:$D$41,4,FALSE), "Merchant Not Fount")</f>
        <v>South</v>
      </c>
      <c r="L325" s="2">
        <f>HLOOKUP(F325,HLOOKUP_Reference!$A$1:$E$2,2,FALSE)</f>
        <v>0.01</v>
      </c>
      <c r="M325">
        <f>SUMIFS(Daily_Merchant_Pivot!$E:$E,Daily_Merchant_Pivot!$A:$A,C325,Daily_Merchant_Pivot!$D:$D,INT(D325))</f>
        <v>499</v>
      </c>
      <c r="N325" t="str">
        <f t="shared" si="10"/>
        <v>Normal Merchant Day</v>
      </c>
      <c r="O325" s="7">
        <f t="shared" si="11"/>
        <v>46025</v>
      </c>
    </row>
    <row r="326" spans="1:15" x14ac:dyDescent="0.3">
      <c r="A326" t="s">
        <v>339</v>
      </c>
      <c r="B326">
        <v>177</v>
      </c>
      <c r="C326">
        <v>9</v>
      </c>
      <c r="D326" s="1">
        <v>46037.897916666669</v>
      </c>
      <c r="E326">
        <v>99</v>
      </c>
      <c r="F326" t="s">
        <v>12</v>
      </c>
      <c r="G326" t="s">
        <v>10</v>
      </c>
      <c r="H326">
        <v>99</v>
      </c>
      <c r="I326" t="str">
        <f>IFERROR(VLOOKUP(C326,Merchants!$A$2:$D$41,2,FALSE),"Merchant not found")</f>
        <v>Merchant_009</v>
      </c>
      <c r="J326" t="str">
        <f>IFERROR(VLOOKUP(C326,Merchants!$A$2:$D$41,3,FALSE),"Merchant not found")</f>
        <v>ecommerce</v>
      </c>
      <c r="K326" t="str">
        <f>IFERROR(VLOOKUP(C326,Merchants!$A$2:$D$41,4,FALSE), "Merchant Not Fount")</f>
        <v>North</v>
      </c>
      <c r="L326" s="2">
        <f>HLOOKUP(F326,HLOOKUP_Reference!$A$1:$E$2,2,FALSE)</f>
        <v>2E-3</v>
      </c>
      <c r="M326">
        <f>SUMIFS(Daily_Merchant_Pivot!$E:$E,Daily_Merchant_Pivot!$A:$A,C326,Daily_Merchant_Pivot!$D:$D,INT(D326))</f>
        <v>148</v>
      </c>
      <c r="N326" t="str">
        <f t="shared" si="10"/>
        <v>Normal Merchant Day</v>
      </c>
      <c r="O326" s="7">
        <f t="shared" si="11"/>
        <v>46037</v>
      </c>
    </row>
    <row r="327" spans="1:15" x14ac:dyDescent="0.3">
      <c r="A327" t="s">
        <v>340</v>
      </c>
      <c r="B327">
        <v>94</v>
      </c>
      <c r="C327">
        <v>9</v>
      </c>
      <c r="D327" s="1">
        <v>46040.859027777777</v>
      </c>
      <c r="E327">
        <v>299</v>
      </c>
      <c r="F327" t="s">
        <v>12</v>
      </c>
      <c r="G327" t="s">
        <v>10</v>
      </c>
      <c r="H327">
        <v>55</v>
      </c>
      <c r="I327" t="str">
        <f>IFERROR(VLOOKUP(C327,Merchants!$A$2:$D$41,2,FALSE),"Merchant not found")</f>
        <v>Merchant_009</v>
      </c>
      <c r="J327" t="str">
        <f>IFERROR(VLOOKUP(C327,Merchants!$A$2:$D$41,3,FALSE),"Merchant not found")</f>
        <v>ecommerce</v>
      </c>
      <c r="K327" t="str">
        <f>IFERROR(VLOOKUP(C327,Merchants!$A$2:$D$41,4,FALSE), "Merchant Not Fount")</f>
        <v>North</v>
      </c>
      <c r="L327" s="2">
        <f>HLOOKUP(F327,HLOOKUP_Reference!$A$1:$E$2,2,FALSE)</f>
        <v>2E-3</v>
      </c>
      <c r="M327">
        <f>SUMIFS(Daily_Merchant_Pivot!$E:$E,Daily_Merchant_Pivot!$A:$A,C327,Daily_Merchant_Pivot!$D:$D,INT(D327))</f>
        <v>299</v>
      </c>
      <c r="N327" t="str">
        <f t="shared" si="10"/>
        <v>Normal Merchant Day</v>
      </c>
      <c r="O327" s="7">
        <f t="shared" si="11"/>
        <v>46040</v>
      </c>
    </row>
    <row r="328" spans="1:15" x14ac:dyDescent="0.3">
      <c r="A328" t="s">
        <v>341</v>
      </c>
      <c r="B328">
        <v>64</v>
      </c>
      <c r="C328">
        <v>34</v>
      </c>
      <c r="D328" s="1">
        <v>46039.078472222223</v>
      </c>
      <c r="E328">
        <v>299</v>
      </c>
      <c r="F328" t="s">
        <v>12</v>
      </c>
      <c r="G328" t="s">
        <v>10</v>
      </c>
      <c r="H328">
        <v>19</v>
      </c>
      <c r="I328" t="str">
        <f>IFERROR(VLOOKUP(C328,Merchants!$A$2:$D$41,2,FALSE),"Merchant not found")</f>
        <v>Merchant_034</v>
      </c>
      <c r="J328" t="str">
        <f>IFERROR(VLOOKUP(C328,Merchants!$A$2:$D$41,3,FALSE),"Merchant not found")</f>
        <v>travel</v>
      </c>
      <c r="K328" t="str">
        <f>IFERROR(VLOOKUP(C328,Merchants!$A$2:$D$41,4,FALSE), "Merchant Not Fount")</f>
        <v>South</v>
      </c>
      <c r="L328" s="2">
        <f>HLOOKUP(F328,HLOOKUP_Reference!$A$1:$E$2,2,FALSE)</f>
        <v>2E-3</v>
      </c>
      <c r="M328">
        <f>SUMIFS(Daily_Merchant_Pivot!$E:$E,Daily_Merchant_Pivot!$A:$A,C328,Daily_Merchant_Pivot!$D:$D,INT(D328))</f>
        <v>299</v>
      </c>
      <c r="N328" t="str">
        <f t="shared" si="10"/>
        <v>Normal Merchant Day</v>
      </c>
      <c r="O328" s="7">
        <f t="shared" si="11"/>
        <v>46039</v>
      </c>
    </row>
    <row r="329" spans="1:15" x14ac:dyDescent="0.3">
      <c r="A329" t="s">
        <v>342</v>
      </c>
      <c r="B329">
        <v>166</v>
      </c>
      <c r="C329">
        <v>15</v>
      </c>
      <c r="D329" s="1">
        <v>46032.215277777781</v>
      </c>
      <c r="E329">
        <v>49</v>
      </c>
      <c r="F329" t="s">
        <v>12</v>
      </c>
      <c r="G329" t="s">
        <v>10</v>
      </c>
      <c r="H329">
        <v>44</v>
      </c>
      <c r="I329" t="str">
        <f>IFERROR(VLOOKUP(C329,Merchants!$A$2:$D$41,2,FALSE),"Merchant not found")</f>
        <v>Merchant_015</v>
      </c>
      <c r="J329" t="str">
        <f>IFERROR(VLOOKUP(C329,Merchants!$A$2:$D$41,3,FALSE),"Merchant not found")</f>
        <v>travel</v>
      </c>
      <c r="K329" t="str">
        <f>IFERROR(VLOOKUP(C329,Merchants!$A$2:$D$41,4,FALSE), "Merchant Not Fount")</f>
        <v>North</v>
      </c>
      <c r="L329" s="2">
        <f>HLOOKUP(F329,HLOOKUP_Reference!$A$1:$E$2,2,FALSE)</f>
        <v>2E-3</v>
      </c>
      <c r="M329">
        <f>SUMIFS(Daily_Merchant_Pivot!$E:$E,Daily_Merchant_Pivot!$A:$A,C329,Daily_Merchant_Pivot!$D:$D,INT(D329))</f>
        <v>49</v>
      </c>
      <c r="N329" t="str">
        <f t="shared" si="10"/>
        <v>Normal Merchant Day</v>
      </c>
      <c r="O329" s="7">
        <f t="shared" si="11"/>
        <v>46032</v>
      </c>
    </row>
    <row r="330" spans="1:15" x14ac:dyDescent="0.3">
      <c r="A330" t="s">
        <v>343</v>
      </c>
      <c r="B330">
        <v>41</v>
      </c>
      <c r="C330">
        <v>17</v>
      </c>
      <c r="D330" s="1">
        <v>46039.412499999999</v>
      </c>
      <c r="E330">
        <v>299</v>
      </c>
      <c r="F330" t="s">
        <v>9</v>
      </c>
      <c r="G330" t="s">
        <v>10</v>
      </c>
      <c r="H330">
        <v>25</v>
      </c>
      <c r="I330" t="str">
        <f>IFERROR(VLOOKUP(C330,Merchants!$A$2:$D$41,2,FALSE),"Merchant not found")</f>
        <v>Merchant_017</v>
      </c>
      <c r="J330" t="str">
        <f>IFERROR(VLOOKUP(C330,Merchants!$A$2:$D$41,3,FALSE),"Merchant not found")</f>
        <v>grocery</v>
      </c>
      <c r="K330" t="str">
        <f>IFERROR(VLOOKUP(C330,Merchants!$A$2:$D$41,4,FALSE), "Merchant Not Fount")</f>
        <v>North</v>
      </c>
      <c r="L330" s="2">
        <f>HLOOKUP(F330,HLOOKUP_Reference!$A$1:$E$2,2,FALSE)</f>
        <v>6.4999999999999997E-3</v>
      </c>
      <c r="M330">
        <f>SUMIFS(Daily_Merchant_Pivot!$E:$E,Daily_Merchant_Pivot!$A:$A,C330,Daily_Merchant_Pivot!$D:$D,INT(D330))</f>
        <v>299</v>
      </c>
      <c r="N330" t="str">
        <f t="shared" si="10"/>
        <v>Normal Merchant Day</v>
      </c>
      <c r="O330" s="7">
        <f t="shared" si="11"/>
        <v>46039</v>
      </c>
    </row>
    <row r="331" spans="1:15" x14ac:dyDescent="0.3">
      <c r="A331" t="s">
        <v>344</v>
      </c>
      <c r="B331">
        <v>65</v>
      </c>
      <c r="C331">
        <v>20</v>
      </c>
      <c r="D331" s="1">
        <v>46043.720138888886</v>
      </c>
      <c r="E331">
        <v>99</v>
      </c>
      <c r="F331" t="s">
        <v>24</v>
      </c>
      <c r="G331" t="s">
        <v>10</v>
      </c>
      <c r="H331">
        <v>78</v>
      </c>
      <c r="I331" t="str">
        <f>IFERROR(VLOOKUP(C331,Merchants!$A$2:$D$41,2,FALSE),"Merchant not found")</f>
        <v>Merchant_020</v>
      </c>
      <c r="J331" t="str">
        <f>IFERROR(VLOOKUP(C331,Merchants!$A$2:$D$41,3,FALSE),"Merchant not found")</f>
        <v>food_delivery</v>
      </c>
      <c r="K331" t="str">
        <f>IFERROR(VLOOKUP(C331,Merchants!$A$2:$D$41,4,FALSE), "Merchant Not Fount")</f>
        <v>East</v>
      </c>
      <c r="L331" s="2">
        <f>HLOOKUP(F331,HLOOKUP_Reference!$A$1:$E$2,2,FALSE)</f>
        <v>1.4999999999999999E-2</v>
      </c>
      <c r="M331">
        <f>SUMIFS(Daily_Merchant_Pivot!$E:$E,Daily_Merchant_Pivot!$A:$A,C331,Daily_Merchant_Pivot!$D:$D,INT(D331))</f>
        <v>99</v>
      </c>
      <c r="N331" t="str">
        <f t="shared" si="10"/>
        <v>Normal Merchant Day</v>
      </c>
      <c r="O331" s="7">
        <f t="shared" si="11"/>
        <v>46043</v>
      </c>
    </row>
    <row r="332" spans="1:15" x14ac:dyDescent="0.3">
      <c r="A332" t="s">
        <v>345</v>
      </c>
      <c r="B332">
        <v>329</v>
      </c>
      <c r="C332">
        <v>11</v>
      </c>
      <c r="D332" s="1">
        <v>46040.105555555558</v>
      </c>
      <c r="E332">
        <v>499</v>
      </c>
      <c r="F332" t="s">
        <v>12</v>
      </c>
      <c r="G332" t="s">
        <v>10</v>
      </c>
      <c r="H332">
        <v>75</v>
      </c>
      <c r="I332" t="str">
        <f>IFERROR(VLOOKUP(C332,Merchants!$A$2:$D$41,2,FALSE),"Merchant not found")</f>
        <v>Merchant_011</v>
      </c>
      <c r="J332" t="str">
        <f>IFERROR(VLOOKUP(C332,Merchants!$A$2:$D$41,3,FALSE),"Merchant not found")</f>
        <v>ecommerce</v>
      </c>
      <c r="K332" t="str">
        <f>IFERROR(VLOOKUP(C332,Merchants!$A$2:$D$41,4,FALSE), "Merchant Not Fount")</f>
        <v>North</v>
      </c>
      <c r="L332" s="2">
        <f>HLOOKUP(F332,HLOOKUP_Reference!$A$1:$E$2,2,FALSE)</f>
        <v>2E-3</v>
      </c>
      <c r="M332">
        <f>SUMIFS(Daily_Merchant_Pivot!$E:$E,Daily_Merchant_Pivot!$A:$A,C332,Daily_Merchant_Pivot!$D:$D,INT(D332))</f>
        <v>499</v>
      </c>
      <c r="N332" t="str">
        <f t="shared" si="10"/>
        <v>Normal Merchant Day</v>
      </c>
      <c r="O332" s="7">
        <f t="shared" si="11"/>
        <v>46040</v>
      </c>
    </row>
    <row r="333" spans="1:15" x14ac:dyDescent="0.3">
      <c r="A333" t="s">
        <v>346</v>
      </c>
      <c r="B333">
        <v>338</v>
      </c>
      <c r="C333">
        <v>40</v>
      </c>
      <c r="D333" s="1">
        <v>46041.173611111109</v>
      </c>
      <c r="E333">
        <v>149</v>
      </c>
      <c r="F333" t="s">
        <v>12</v>
      </c>
      <c r="G333" t="s">
        <v>10</v>
      </c>
      <c r="H333">
        <v>92</v>
      </c>
      <c r="I333" t="str">
        <f>IFERROR(VLOOKUP(C333,Merchants!$A$2:$D$41,2,FALSE),"Merchant not found")</f>
        <v>Merchant_040</v>
      </c>
      <c r="J333" t="str">
        <f>IFERROR(VLOOKUP(C333,Merchants!$A$2:$D$41,3,FALSE),"Merchant not found")</f>
        <v>entertainment</v>
      </c>
      <c r="K333" t="str">
        <f>IFERROR(VLOOKUP(C333,Merchants!$A$2:$D$41,4,FALSE), "Merchant Not Fount")</f>
        <v>South</v>
      </c>
      <c r="L333" s="2">
        <f>HLOOKUP(F333,HLOOKUP_Reference!$A$1:$E$2,2,FALSE)</f>
        <v>2E-3</v>
      </c>
      <c r="M333">
        <f>SUMIFS(Daily_Merchant_Pivot!$E:$E,Daily_Merchant_Pivot!$A:$A,C333,Daily_Merchant_Pivot!$D:$D,INT(D333))</f>
        <v>648</v>
      </c>
      <c r="N333" t="str">
        <f t="shared" si="10"/>
        <v>Normal Merchant Day</v>
      </c>
      <c r="O333" s="7">
        <f t="shared" si="11"/>
        <v>46041</v>
      </c>
    </row>
    <row r="334" spans="1:15" x14ac:dyDescent="0.3">
      <c r="A334" t="s">
        <v>347</v>
      </c>
      <c r="B334">
        <v>289</v>
      </c>
      <c r="C334">
        <v>3</v>
      </c>
      <c r="D334" s="1">
        <v>46051.806250000001</v>
      </c>
      <c r="E334">
        <v>49</v>
      </c>
      <c r="F334" t="s">
        <v>15</v>
      </c>
      <c r="G334" t="s">
        <v>10</v>
      </c>
      <c r="H334">
        <v>3</v>
      </c>
      <c r="I334" t="str">
        <f>IFERROR(VLOOKUP(C334,Merchants!$A$2:$D$41,2,FALSE),"Merchant not found")</f>
        <v>Merchant_003</v>
      </c>
      <c r="J334" t="str">
        <f>IFERROR(VLOOKUP(C334,Merchants!$A$2:$D$41,3,FALSE),"Merchant not found")</f>
        <v>grocery</v>
      </c>
      <c r="K334" t="str">
        <f>IFERROR(VLOOKUP(C334,Merchants!$A$2:$D$41,4,FALSE), "Merchant Not Fount")</f>
        <v>East</v>
      </c>
      <c r="L334" s="2">
        <f>HLOOKUP(F334,HLOOKUP_Reference!$A$1:$E$2,2,FALSE)</f>
        <v>0.01</v>
      </c>
      <c r="M334">
        <f>SUMIFS(Daily_Merchant_Pivot!$E:$E,Daily_Merchant_Pivot!$A:$A,C334,Daily_Merchant_Pivot!$D:$D,INT(D334))</f>
        <v>49</v>
      </c>
      <c r="N334" t="str">
        <f t="shared" si="10"/>
        <v>Normal Merchant Day</v>
      </c>
      <c r="O334" s="7">
        <f t="shared" si="11"/>
        <v>46051</v>
      </c>
    </row>
    <row r="335" spans="1:15" x14ac:dyDescent="0.3">
      <c r="A335" t="s">
        <v>348</v>
      </c>
      <c r="B335">
        <v>296</v>
      </c>
      <c r="C335">
        <v>17</v>
      </c>
      <c r="D335" s="1">
        <v>46025.070138888892</v>
      </c>
      <c r="E335">
        <v>99</v>
      </c>
      <c r="F335" t="s">
        <v>12</v>
      </c>
      <c r="G335" t="s">
        <v>10</v>
      </c>
      <c r="H335">
        <v>83</v>
      </c>
      <c r="I335" t="str">
        <f>IFERROR(VLOOKUP(C335,Merchants!$A$2:$D$41,2,FALSE),"Merchant not found")</f>
        <v>Merchant_017</v>
      </c>
      <c r="J335" t="str">
        <f>IFERROR(VLOOKUP(C335,Merchants!$A$2:$D$41,3,FALSE),"Merchant not found")</f>
        <v>grocery</v>
      </c>
      <c r="K335" t="str">
        <f>IFERROR(VLOOKUP(C335,Merchants!$A$2:$D$41,4,FALSE), "Merchant Not Fount")</f>
        <v>North</v>
      </c>
      <c r="L335" s="2">
        <f>HLOOKUP(F335,HLOOKUP_Reference!$A$1:$E$2,2,FALSE)</f>
        <v>2E-3</v>
      </c>
      <c r="M335">
        <f>SUMIFS(Daily_Merchant_Pivot!$E:$E,Daily_Merchant_Pivot!$A:$A,C335,Daily_Merchant_Pivot!$D:$D,INT(D335))</f>
        <v>398</v>
      </c>
      <c r="N335" t="str">
        <f t="shared" si="10"/>
        <v>Normal Merchant Day</v>
      </c>
      <c r="O335" s="7">
        <f t="shared" si="11"/>
        <v>46025</v>
      </c>
    </row>
    <row r="336" spans="1:15" x14ac:dyDescent="0.3">
      <c r="A336" t="s">
        <v>349</v>
      </c>
      <c r="B336">
        <v>317</v>
      </c>
      <c r="C336">
        <v>2</v>
      </c>
      <c r="D336" s="1">
        <v>46029.768055555556</v>
      </c>
      <c r="E336">
        <v>499</v>
      </c>
      <c r="F336" t="s">
        <v>24</v>
      </c>
      <c r="G336" t="s">
        <v>10</v>
      </c>
      <c r="H336">
        <v>63</v>
      </c>
      <c r="I336" t="str">
        <f>IFERROR(VLOOKUP(C336,Merchants!$A$2:$D$41,2,FALSE),"Merchant not found")</f>
        <v>Merchant_002</v>
      </c>
      <c r="J336" t="str">
        <f>IFERROR(VLOOKUP(C336,Merchants!$A$2:$D$41,3,FALSE),"Merchant not found")</f>
        <v>grocery</v>
      </c>
      <c r="K336" t="str">
        <f>IFERROR(VLOOKUP(C336,Merchants!$A$2:$D$41,4,FALSE), "Merchant Not Fount")</f>
        <v>West</v>
      </c>
      <c r="L336" s="2">
        <f>HLOOKUP(F336,HLOOKUP_Reference!$A$1:$E$2,2,FALSE)</f>
        <v>1.4999999999999999E-2</v>
      </c>
      <c r="M336">
        <f>SUMIFS(Daily_Merchant_Pivot!$E:$E,Daily_Merchant_Pivot!$A:$A,C336,Daily_Merchant_Pivot!$D:$D,INT(D336))</f>
        <v>499</v>
      </c>
      <c r="N336" t="str">
        <f t="shared" si="10"/>
        <v>Normal Merchant Day</v>
      </c>
      <c r="O336" s="7">
        <f t="shared" si="11"/>
        <v>46029</v>
      </c>
    </row>
    <row r="337" spans="1:15" x14ac:dyDescent="0.3">
      <c r="A337" t="s">
        <v>350</v>
      </c>
      <c r="B337">
        <v>149</v>
      </c>
      <c r="C337">
        <v>20</v>
      </c>
      <c r="D337" s="1">
        <v>46051.856944444444</v>
      </c>
      <c r="E337">
        <v>499</v>
      </c>
      <c r="F337" t="s">
        <v>24</v>
      </c>
      <c r="G337" t="s">
        <v>10</v>
      </c>
      <c r="H337">
        <v>61</v>
      </c>
      <c r="I337" t="str">
        <f>IFERROR(VLOOKUP(C337,Merchants!$A$2:$D$41,2,FALSE),"Merchant not found")</f>
        <v>Merchant_020</v>
      </c>
      <c r="J337" t="str">
        <f>IFERROR(VLOOKUP(C337,Merchants!$A$2:$D$41,3,FALSE),"Merchant not found")</f>
        <v>food_delivery</v>
      </c>
      <c r="K337" t="str">
        <f>IFERROR(VLOOKUP(C337,Merchants!$A$2:$D$41,4,FALSE), "Merchant Not Fount")</f>
        <v>East</v>
      </c>
      <c r="L337" s="2">
        <f>HLOOKUP(F337,HLOOKUP_Reference!$A$1:$E$2,2,FALSE)</f>
        <v>1.4999999999999999E-2</v>
      </c>
      <c r="M337">
        <f>SUMIFS(Daily_Merchant_Pivot!$E:$E,Daily_Merchant_Pivot!$A:$A,C337,Daily_Merchant_Pivot!$D:$D,INT(D337))</f>
        <v>499</v>
      </c>
      <c r="N337" t="str">
        <f t="shared" si="10"/>
        <v>Normal Merchant Day</v>
      </c>
      <c r="O337" s="7">
        <f t="shared" si="11"/>
        <v>46051</v>
      </c>
    </row>
    <row r="338" spans="1:15" x14ac:dyDescent="0.3">
      <c r="A338" t="s">
        <v>351</v>
      </c>
      <c r="B338">
        <v>153</v>
      </c>
      <c r="C338">
        <v>30</v>
      </c>
      <c r="D338" s="1">
        <v>46030.892361111109</v>
      </c>
      <c r="E338">
        <v>299</v>
      </c>
      <c r="F338" t="s">
        <v>12</v>
      </c>
      <c r="G338" t="s">
        <v>10</v>
      </c>
      <c r="H338">
        <v>9</v>
      </c>
      <c r="I338" t="str">
        <f>IFERROR(VLOOKUP(C338,Merchants!$A$2:$D$41,2,FALSE),"Merchant not found")</f>
        <v>Merchant_030</v>
      </c>
      <c r="J338" t="str">
        <f>IFERROR(VLOOKUP(C338,Merchants!$A$2:$D$41,3,FALSE),"Merchant not found")</f>
        <v>travel</v>
      </c>
      <c r="K338" t="str">
        <f>IFERROR(VLOOKUP(C338,Merchants!$A$2:$D$41,4,FALSE), "Merchant Not Fount")</f>
        <v>West</v>
      </c>
      <c r="L338" s="2">
        <f>HLOOKUP(F338,HLOOKUP_Reference!$A$1:$E$2,2,FALSE)</f>
        <v>2E-3</v>
      </c>
      <c r="M338">
        <f>SUMIFS(Daily_Merchant_Pivot!$E:$E,Daily_Merchant_Pivot!$A:$A,C338,Daily_Merchant_Pivot!$D:$D,INT(D338))</f>
        <v>1197</v>
      </c>
      <c r="N338" t="str">
        <f t="shared" si="10"/>
        <v>Normal Merchant Day</v>
      </c>
      <c r="O338" s="7">
        <f t="shared" si="11"/>
        <v>46030</v>
      </c>
    </row>
    <row r="339" spans="1:15" x14ac:dyDescent="0.3">
      <c r="A339" t="s">
        <v>352</v>
      </c>
      <c r="B339">
        <v>226</v>
      </c>
      <c r="C339">
        <v>27</v>
      </c>
      <c r="D339" s="1">
        <v>46045.048611111109</v>
      </c>
      <c r="E339">
        <v>2999</v>
      </c>
      <c r="F339" t="s">
        <v>12</v>
      </c>
      <c r="G339" t="s">
        <v>38</v>
      </c>
      <c r="H339">
        <v>61</v>
      </c>
      <c r="I339" t="str">
        <f>IFERROR(VLOOKUP(C339,Merchants!$A$2:$D$41,2,FALSE),"Merchant not found")</f>
        <v>Merchant_027</v>
      </c>
      <c r="J339" t="str">
        <f>IFERROR(VLOOKUP(C339,Merchants!$A$2:$D$41,3,FALSE),"Merchant not found")</f>
        <v>ecommerce</v>
      </c>
      <c r="K339" t="str">
        <f>IFERROR(VLOOKUP(C339,Merchants!$A$2:$D$41,4,FALSE), "Merchant Not Fount")</f>
        <v>North</v>
      </c>
      <c r="L339" s="2">
        <f>HLOOKUP(F339,HLOOKUP_Reference!$A$1:$E$2,2,FALSE)</f>
        <v>2E-3</v>
      </c>
      <c r="M339">
        <f>SUMIFS(Daily_Merchant_Pivot!$E:$E,Daily_Merchant_Pivot!$A:$A,C339,Daily_Merchant_Pivot!$D:$D,INT(D339))</f>
        <v>3998</v>
      </c>
      <c r="N339" t="str">
        <f t="shared" si="10"/>
        <v>Normal Merchant Day</v>
      </c>
      <c r="O339" s="7">
        <f t="shared" si="11"/>
        <v>46045</v>
      </c>
    </row>
    <row r="340" spans="1:15" x14ac:dyDescent="0.3">
      <c r="A340" t="s">
        <v>353</v>
      </c>
      <c r="B340">
        <v>311</v>
      </c>
      <c r="C340">
        <v>10</v>
      </c>
      <c r="D340" s="1">
        <v>46037.26458333333</v>
      </c>
      <c r="E340">
        <v>2999</v>
      </c>
      <c r="F340" t="s">
        <v>12</v>
      </c>
      <c r="G340" t="s">
        <v>10</v>
      </c>
      <c r="H340">
        <v>40</v>
      </c>
      <c r="I340" t="str">
        <f>IFERROR(VLOOKUP(C340,Merchants!$A$2:$D$41,2,FALSE),"Merchant not found")</f>
        <v>Merchant_010</v>
      </c>
      <c r="J340" t="str">
        <f>IFERROR(VLOOKUP(C340,Merchants!$A$2:$D$41,3,FALSE),"Merchant not found")</f>
        <v>grocery</v>
      </c>
      <c r="K340" t="str">
        <f>IFERROR(VLOOKUP(C340,Merchants!$A$2:$D$41,4,FALSE), "Merchant Not Fount")</f>
        <v>West</v>
      </c>
      <c r="L340" s="2">
        <f>HLOOKUP(F340,HLOOKUP_Reference!$A$1:$E$2,2,FALSE)</f>
        <v>2E-3</v>
      </c>
      <c r="M340">
        <f>SUMIFS(Daily_Merchant_Pivot!$E:$E,Daily_Merchant_Pivot!$A:$A,C340,Daily_Merchant_Pivot!$D:$D,INT(D340))</f>
        <v>2999</v>
      </c>
      <c r="N340" t="str">
        <f t="shared" si="10"/>
        <v>Normal Merchant Day</v>
      </c>
      <c r="O340" s="7">
        <f t="shared" si="11"/>
        <v>46037</v>
      </c>
    </row>
    <row r="341" spans="1:15" x14ac:dyDescent="0.3">
      <c r="A341" t="s">
        <v>354</v>
      </c>
      <c r="B341">
        <v>177</v>
      </c>
      <c r="C341">
        <v>26</v>
      </c>
      <c r="D341" s="1">
        <v>46050.930555555555</v>
      </c>
      <c r="E341">
        <v>1499</v>
      </c>
      <c r="F341" t="s">
        <v>12</v>
      </c>
      <c r="G341" t="s">
        <v>10</v>
      </c>
      <c r="H341">
        <v>16</v>
      </c>
      <c r="I341" t="str">
        <f>IFERROR(VLOOKUP(C341,Merchants!$A$2:$D$41,2,FALSE),"Merchant not found")</f>
        <v>Merchant_026</v>
      </c>
      <c r="J341" t="str">
        <f>IFERROR(VLOOKUP(C341,Merchants!$A$2:$D$41,3,FALSE),"Merchant not found")</f>
        <v>food_delivery</v>
      </c>
      <c r="K341" t="str">
        <f>IFERROR(VLOOKUP(C341,Merchants!$A$2:$D$41,4,FALSE), "Merchant Not Fount")</f>
        <v>East</v>
      </c>
      <c r="L341" s="2">
        <f>HLOOKUP(F341,HLOOKUP_Reference!$A$1:$E$2,2,FALSE)</f>
        <v>2E-3</v>
      </c>
      <c r="M341">
        <f>SUMIFS(Daily_Merchant_Pivot!$E:$E,Daily_Merchant_Pivot!$A:$A,C341,Daily_Merchant_Pivot!$D:$D,INT(D341))</f>
        <v>1499</v>
      </c>
      <c r="N341" t="str">
        <f t="shared" si="10"/>
        <v>Normal Merchant Day</v>
      </c>
      <c r="O341" s="7">
        <f t="shared" si="11"/>
        <v>46050</v>
      </c>
    </row>
    <row r="342" spans="1:15" x14ac:dyDescent="0.3">
      <c r="A342" t="s">
        <v>355</v>
      </c>
      <c r="B342">
        <v>288</v>
      </c>
      <c r="C342">
        <v>7</v>
      </c>
      <c r="D342" s="1">
        <v>46047.480555555558</v>
      </c>
      <c r="E342">
        <v>99</v>
      </c>
      <c r="F342" t="s">
        <v>15</v>
      </c>
      <c r="G342" t="s">
        <v>10</v>
      </c>
      <c r="H342">
        <v>40</v>
      </c>
      <c r="I342" t="str">
        <f>IFERROR(VLOOKUP(C342,Merchants!$A$2:$D$41,2,FALSE),"Merchant not found")</f>
        <v>Merchant_007</v>
      </c>
      <c r="J342" t="str">
        <f>IFERROR(VLOOKUP(C342,Merchants!$A$2:$D$41,3,FALSE),"Merchant not found")</f>
        <v>food_delivery</v>
      </c>
      <c r="K342" t="str">
        <f>IFERROR(VLOOKUP(C342,Merchants!$A$2:$D$41,4,FALSE), "Merchant Not Fount")</f>
        <v>East</v>
      </c>
      <c r="L342" s="2">
        <f>HLOOKUP(F342,HLOOKUP_Reference!$A$1:$E$2,2,FALSE)</f>
        <v>0.01</v>
      </c>
      <c r="M342">
        <f>SUMIFS(Daily_Merchant_Pivot!$E:$E,Daily_Merchant_Pivot!$A:$A,C342,Daily_Merchant_Pivot!$D:$D,INT(D342))</f>
        <v>99</v>
      </c>
      <c r="N342" t="str">
        <f t="shared" si="10"/>
        <v>Normal Merchant Day</v>
      </c>
      <c r="O342" s="7">
        <f t="shared" si="11"/>
        <v>46047</v>
      </c>
    </row>
    <row r="343" spans="1:15" x14ac:dyDescent="0.3">
      <c r="A343" t="s">
        <v>356</v>
      </c>
      <c r="B343">
        <v>137</v>
      </c>
      <c r="C343">
        <v>29</v>
      </c>
      <c r="D343" s="1">
        <v>46030.588194444441</v>
      </c>
      <c r="E343">
        <v>2999</v>
      </c>
      <c r="F343" t="s">
        <v>12</v>
      </c>
      <c r="G343" t="s">
        <v>25</v>
      </c>
      <c r="H343">
        <v>31</v>
      </c>
      <c r="I343" t="str">
        <f>IFERROR(VLOOKUP(C343,Merchants!$A$2:$D$41,2,FALSE),"Merchant not found")</f>
        <v>Merchant_029</v>
      </c>
      <c r="J343" t="str">
        <f>IFERROR(VLOOKUP(C343,Merchants!$A$2:$D$41,3,FALSE),"Merchant not found")</f>
        <v>ecommerce</v>
      </c>
      <c r="K343" t="str">
        <f>IFERROR(VLOOKUP(C343,Merchants!$A$2:$D$41,4,FALSE), "Merchant Not Fount")</f>
        <v>North</v>
      </c>
      <c r="L343" s="2">
        <f>HLOOKUP(F343,HLOOKUP_Reference!$A$1:$E$2,2,FALSE)</f>
        <v>2E-3</v>
      </c>
      <c r="M343">
        <f>SUMIFS(Daily_Merchant_Pivot!$E:$E,Daily_Merchant_Pivot!$A:$A,C343,Daily_Merchant_Pivot!$D:$D,INT(D343))</f>
        <v>2999</v>
      </c>
      <c r="N343" t="str">
        <f t="shared" si="10"/>
        <v>Normal Merchant Day</v>
      </c>
      <c r="O343" s="7">
        <f t="shared" si="11"/>
        <v>46030</v>
      </c>
    </row>
    <row r="344" spans="1:15" x14ac:dyDescent="0.3">
      <c r="A344" t="s">
        <v>357</v>
      </c>
      <c r="B344">
        <v>149</v>
      </c>
      <c r="C344">
        <v>25</v>
      </c>
      <c r="D344" s="1">
        <v>46027.127083333333</v>
      </c>
      <c r="E344">
        <v>1499</v>
      </c>
      <c r="F344" t="s">
        <v>12</v>
      </c>
      <c r="G344" t="s">
        <v>10</v>
      </c>
      <c r="H344">
        <v>78</v>
      </c>
      <c r="I344" t="str">
        <f>IFERROR(VLOOKUP(C344,Merchants!$A$2:$D$41,2,FALSE),"Merchant not found")</f>
        <v>Merchant_025</v>
      </c>
      <c r="J344" t="str">
        <f>IFERROR(VLOOKUP(C344,Merchants!$A$2:$D$41,3,FALSE),"Merchant not found")</f>
        <v>travel</v>
      </c>
      <c r="K344" t="str">
        <f>IFERROR(VLOOKUP(C344,Merchants!$A$2:$D$41,4,FALSE), "Merchant Not Fount")</f>
        <v>South</v>
      </c>
      <c r="L344" s="2">
        <f>HLOOKUP(F344,HLOOKUP_Reference!$A$1:$E$2,2,FALSE)</f>
        <v>2E-3</v>
      </c>
      <c r="M344">
        <f>SUMIFS(Daily_Merchant_Pivot!$E:$E,Daily_Merchant_Pivot!$A:$A,C344,Daily_Merchant_Pivot!$D:$D,INT(D344))</f>
        <v>4498</v>
      </c>
      <c r="N344" t="str">
        <f t="shared" si="10"/>
        <v>Normal Merchant Day</v>
      </c>
      <c r="O344" s="7">
        <f t="shared" si="11"/>
        <v>46027</v>
      </c>
    </row>
    <row r="345" spans="1:15" x14ac:dyDescent="0.3">
      <c r="A345" t="s">
        <v>358</v>
      </c>
      <c r="B345">
        <v>82</v>
      </c>
      <c r="C345">
        <v>21</v>
      </c>
      <c r="D345" s="1">
        <v>46036.329861111109</v>
      </c>
      <c r="E345">
        <v>49</v>
      </c>
      <c r="F345" t="s">
        <v>9</v>
      </c>
      <c r="G345" t="s">
        <v>10</v>
      </c>
      <c r="H345">
        <v>73</v>
      </c>
      <c r="I345" t="str">
        <f>IFERROR(VLOOKUP(C345,Merchants!$A$2:$D$41,2,FALSE),"Merchant not found")</f>
        <v>Merchant_021</v>
      </c>
      <c r="J345" t="str">
        <f>IFERROR(VLOOKUP(C345,Merchants!$A$2:$D$41,3,FALSE),"Merchant not found")</f>
        <v>food_delivery</v>
      </c>
      <c r="K345" t="str">
        <f>IFERROR(VLOOKUP(C345,Merchants!$A$2:$D$41,4,FALSE), "Merchant Not Fount")</f>
        <v>East</v>
      </c>
      <c r="L345" s="2">
        <f>HLOOKUP(F345,HLOOKUP_Reference!$A$1:$E$2,2,FALSE)</f>
        <v>6.4999999999999997E-3</v>
      </c>
      <c r="M345">
        <f>SUMIFS(Daily_Merchant_Pivot!$E:$E,Daily_Merchant_Pivot!$A:$A,C345,Daily_Merchant_Pivot!$D:$D,INT(D345))</f>
        <v>49</v>
      </c>
      <c r="N345" t="str">
        <f t="shared" si="10"/>
        <v>Normal Merchant Day</v>
      </c>
      <c r="O345" s="7">
        <f t="shared" si="11"/>
        <v>46036</v>
      </c>
    </row>
    <row r="346" spans="1:15" x14ac:dyDescent="0.3">
      <c r="A346" t="s">
        <v>359</v>
      </c>
      <c r="B346">
        <v>82</v>
      </c>
      <c r="C346">
        <v>32</v>
      </c>
      <c r="D346" s="1">
        <v>46046.425000000003</v>
      </c>
      <c r="E346">
        <v>49</v>
      </c>
      <c r="F346" t="s">
        <v>12</v>
      </c>
      <c r="G346" t="s">
        <v>10</v>
      </c>
      <c r="H346">
        <v>65</v>
      </c>
      <c r="I346" t="str">
        <f>IFERROR(VLOOKUP(C346,Merchants!$A$2:$D$41,2,FALSE),"Merchant not found")</f>
        <v>Merchant_032</v>
      </c>
      <c r="J346" t="str">
        <f>IFERROR(VLOOKUP(C346,Merchants!$A$2:$D$41,3,FALSE),"Merchant not found")</f>
        <v>food_delivery</v>
      </c>
      <c r="K346" t="str">
        <f>IFERROR(VLOOKUP(C346,Merchants!$A$2:$D$41,4,FALSE), "Merchant Not Fount")</f>
        <v>West</v>
      </c>
      <c r="L346" s="2">
        <f>HLOOKUP(F346,HLOOKUP_Reference!$A$1:$E$2,2,FALSE)</f>
        <v>2E-3</v>
      </c>
      <c r="M346">
        <f>SUMIFS(Daily_Merchant_Pivot!$E:$E,Daily_Merchant_Pivot!$A:$A,C346,Daily_Merchant_Pivot!$D:$D,INT(D346))</f>
        <v>49</v>
      </c>
      <c r="N346" t="str">
        <f t="shared" si="10"/>
        <v>Normal Merchant Day</v>
      </c>
      <c r="O346" s="7">
        <f t="shared" si="11"/>
        <v>46046</v>
      </c>
    </row>
    <row r="347" spans="1:15" x14ac:dyDescent="0.3">
      <c r="A347" t="s">
        <v>360</v>
      </c>
      <c r="B347">
        <v>158</v>
      </c>
      <c r="C347">
        <v>32</v>
      </c>
      <c r="D347" s="1">
        <v>46037.663888888892</v>
      </c>
      <c r="E347">
        <v>99</v>
      </c>
      <c r="F347" t="s">
        <v>9</v>
      </c>
      <c r="G347" t="s">
        <v>10</v>
      </c>
      <c r="H347">
        <v>2</v>
      </c>
      <c r="I347" t="str">
        <f>IFERROR(VLOOKUP(C347,Merchants!$A$2:$D$41,2,FALSE),"Merchant not found")</f>
        <v>Merchant_032</v>
      </c>
      <c r="J347" t="str">
        <f>IFERROR(VLOOKUP(C347,Merchants!$A$2:$D$41,3,FALSE),"Merchant not found")</f>
        <v>food_delivery</v>
      </c>
      <c r="K347" t="str">
        <f>IFERROR(VLOOKUP(C347,Merchants!$A$2:$D$41,4,FALSE), "Merchant Not Fount")</f>
        <v>West</v>
      </c>
      <c r="L347" s="2">
        <f>HLOOKUP(F347,HLOOKUP_Reference!$A$1:$E$2,2,FALSE)</f>
        <v>6.4999999999999997E-3</v>
      </c>
      <c r="M347">
        <f>SUMIFS(Daily_Merchant_Pivot!$E:$E,Daily_Merchant_Pivot!$A:$A,C347,Daily_Merchant_Pivot!$D:$D,INT(D347))</f>
        <v>148</v>
      </c>
      <c r="N347" t="str">
        <f t="shared" si="10"/>
        <v>Normal Merchant Day</v>
      </c>
      <c r="O347" s="7">
        <f t="shared" si="11"/>
        <v>46037</v>
      </c>
    </row>
    <row r="348" spans="1:15" x14ac:dyDescent="0.3">
      <c r="A348" t="s">
        <v>361</v>
      </c>
      <c r="B348">
        <v>235</v>
      </c>
      <c r="C348">
        <v>16</v>
      </c>
      <c r="D348" s="1">
        <v>46025.522222222222</v>
      </c>
      <c r="E348">
        <v>99</v>
      </c>
      <c r="F348" t="s">
        <v>12</v>
      </c>
      <c r="G348" t="s">
        <v>10</v>
      </c>
      <c r="H348">
        <v>27</v>
      </c>
      <c r="I348" t="str">
        <f>IFERROR(VLOOKUP(C348,Merchants!$A$2:$D$41,2,FALSE),"Merchant not found")</f>
        <v>Merchant_016</v>
      </c>
      <c r="J348" t="str">
        <f>IFERROR(VLOOKUP(C348,Merchants!$A$2:$D$41,3,FALSE),"Merchant not found")</f>
        <v>bill_payment</v>
      </c>
      <c r="K348" t="str">
        <f>IFERROR(VLOOKUP(C348,Merchants!$A$2:$D$41,4,FALSE), "Merchant Not Fount")</f>
        <v>West</v>
      </c>
      <c r="L348" s="2">
        <f>HLOOKUP(F348,HLOOKUP_Reference!$A$1:$E$2,2,FALSE)</f>
        <v>2E-3</v>
      </c>
      <c r="M348">
        <f>SUMIFS(Daily_Merchant_Pivot!$E:$E,Daily_Merchant_Pivot!$A:$A,C348,Daily_Merchant_Pivot!$D:$D,INT(D348))</f>
        <v>99</v>
      </c>
      <c r="N348" t="str">
        <f t="shared" si="10"/>
        <v>Normal Merchant Day</v>
      </c>
      <c r="O348" s="7">
        <f t="shared" si="11"/>
        <v>46025</v>
      </c>
    </row>
    <row r="349" spans="1:15" x14ac:dyDescent="0.3">
      <c r="A349" t="s">
        <v>362</v>
      </c>
      <c r="B349">
        <v>26</v>
      </c>
      <c r="C349">
        <v>19</v>
      </c>
      <c r="D349" s="1">
        <v>46041.460416666669</v>
      </c>
      <c r="E349">
        <v>99</v>
      </c>
      <c r="F349" t="s">
        <v>9</v>
      </c>
      <c r="G349" t="s">
        <v>10</v>
      </c>
      <c r="H349">
        <v>63</v>
      </c>
      <c r="I349" t="str">
        <f>IFERROR(VLOOKUP(C349,Merchants!$A$2:$D$41,2,FALSE),"Merchant not found")</f>
        <v>Merchant_019</v>
      </c>
      <c r="J349" t="str">
        <f>IFERROR(VLOOKUP(C349,Merchants!$A$2:$D$41,3,FALSE),"Merchant not found")</f>
        <v>grocery</v>
      </c>
      <c r="K349" t="str">
        <f>IFERROR(VLOOKUP(C349,Merchants!$A$2:$D$41,4,FALSE), "Merchant Not Fount")</f>
        <v>North</v>
      </c>
      <c r="L349" s="2">
        <f>HLOOKUP(F349,HLOOKUP_Reference!$A$1:$E$2,2,FALSE)</f>
        <v>6.4999999999999997E-3</v>
      </c>
      <c r="M349">
        <f>SUMIFS(Daily_Merchant_Pivot!$E:$E,Daily_Merchant_Pivot!$A:$A,C349,Daily_Merchant_Pivot!$D:$D,INT(D349))</f>
        <v>99</v>
      </c>
      <c r="N349" t="str">
        <f t="shared" si="10"/>
        <v>Normal Merchant Day</v>
      </c>
      <c r="O349" s="7">
        <f t="shared" si="11"/>
        <v>46041</v>
      </c>
    </row>
    <row r="350" spans="1:15" x14ac:dyDescent="0.3">
      <c r="A350" t="s">
        <v>363</v>
      </c>
      <c r="B350">
        <v>241</v>
      </c>
      <c r="C350">
        <v>19</v>
      </c>
      <c r="D350" s="1">
        <v>46042.863194444442</v>
      </c>
      <c r="E350">
        <v>299</v>
      </c>
      <c r="F350" t="s">
        <v>12</v>
      </c>
      <c r="G350" t="s">
        <v>10</v>
      </c>
      <c r="H350">
        <v>68</v>
      </c>
      <c r="I350" t="str">
        <f>IFERROR(VLOOKUP(C350,Merchants!$A$2:$D$41,2,FALSE),"Merchant not found")</f>
        <v>Merchant_019</v>
      </c>
      <c r="J350" t="str">
        <f>IFERROR(VLOOKUP(C350,Merchants!$A$2:$D$41,3,FALSE),"Merchant not found")</f>
        <v>grocery</v>
      </c>
      <c r="K350" t="str">
        <f>IFERROR(VLOOKUP(C350,Merchants!$A$2:$D$41,4,FALSE), "Merchant Not Fount")</f>
        <v>North</v>
      </c>
      <c r="L350" s="2">
        <f>HLOOKUP(F350,HLOOKUP_Reference!$A$1:$E$2,2,FALSE)</f>
        <v>2E-3</v>
      </c>
      <c r="M350">
        <f>SUMIFS(Daily_Merchant_Pivot!$E:$E,Daily_Merchant_Pivot!$A:$A,C350,Daily_Merchant_Pivot!$D:$D,INT(D350))</f>
        <v>348</v>
      </c>
      <c r="N350" t="str">
        <f t="shared" si="10"/>
        <v>Normal Merchant Day</v>
      </c>
      <c r="O350" s="7">
        <f t="shared" si="11"/>
        <v>46042</v>
      </c>
    </row>
    <row r="351" spans="1:15" x14ac:dyDescent="0.3">
      <c r="A351" t="s">
        <v>364</v>
      </c>
      <c r="B351">
        <v>69</v>
      </c>
      <c r="C351">
        <v>17</v>
      </c>
      <c r="D351" s="1">
        <v>46023.143750000003</v>
      </c>
      <c r="E351">
        <v>1499</v>
      </c>
      <c r="F351" t="s">
        <v>12</v>
      </c>
      <c r="G351" t="s">
        <v>10</v>
      </c>
      <c r="H351">
        <v>93</v>
      </c>
      <c r="I351" t="str">
        <f>IFERROR(VLOOKUP(C351,Merchants!$A$2:$D$41,2,FALSE),"Merchant not found")</f>
        <v>Merchant_017</v>
      </c>
      <c r="J351" t="str">
        <f>IFERROR(VLOOKUP(C351,Merchants!$A$2:$D$41,3,FALSE),"Merchant not found")</f>
        <v>grocery</v>
      </c>
      <c r="K351" t="str">
        <f>IFERROR(VLOOKUP(C351,Merchants!$A$2:$D$41,4,FALSE), "Merchant Not Fount")</f>
        <v>North</v>
      </c>
      <c r="L351" s="2">
        <f>HLOOKUP(F351,HLOOKUP_Reference!$A$1:$E$2,2,FALSE)</f>
        <v>2E-3</v>
      </c>
      <c r="M351">
        <f>SUMIFS(Daily_Merchant_Pivot!$E:$E,Daily_Merchant_Pivot!$A:$A,C351,Daily_Merchant_Pivot!$D:$D,INT(D351))</f>
        <v>1499</v>
      </c>
      <c r="N351" t="str">
        <f t="shared" si="10"/>
        <v>Normal Merchant Day</v>
      </c>
      <c r="O351" s="7">
        <f t="shared" si="11"/>
        <v>46023</v>
      </c>
    </row>
    <row r="352" spans="1:15" x14ac:dyDescent="0.3">
      <c r="A352" t="s">
        <v>365</v>
      </c>
      <c r="B352">
        <v>24</v>
      </c>
      <c r="C352">
        <v>26</v>
      </c>
      <c r="D352" s="1">
        <v>46034.515972222223</v>
      </c>
      <c r="E352">
        <v>299</v>
      </c>
      <c r="F352" t="s">
        <v>15</v>
      </c>
      <c r="G352" t="s">
        <v>10</v>
      </c>
      <c r="H352">
        <v>6</v>
      </c>
      <c r="I352" t="str">
        <f>IFERROR(VLOOKUP(C352,Merchants!$A$2:$D$41,2,FALSE),"Merchant not found")</f>
        <v>Merchant_026</v>
      </c>
      <c r="J352" t="str">
        <f>IFERROR(VLOOKUP(C352,Merchants!$A$2:$D$41,3,FALSE),"Merchant not found")</f>
        <v>food_delivery</v>
      </c>
      <c r="K352" t="str">
        <f>IFERROR(VLOOKUP(C352,Merchants!$A$2:$D$41,4,FALSE), "Merchant Not Fount")</f>
        <v>East</v>
      </c>
      <c r="L352" s="2">
        <f>HLOOKUP(F352,HLOOKUP_Reference!$A$1:$E$2,2,FALSE)</f>
        <v>0.01</v>
      </c>
      <c r="M352">
        <f>SUMIFS(Daily_Merchant_Pivot!$E:$E,Daily_Merchant_Pivot!$A:$A,C352,Daily_Merchant_Pivot!$D:$D,INT(D352))</f>
        <v>299</v>
      </c>
      <c r="N352" t="str">
        <f t="shared" si="10"/>
        <v>Normal Merchant Day</v>
      </c>
      <c r="O352" s="7">
        <f t="shared" si="11"/>
        <v>46034</v>
      </c>
    </row>
    <row r="353" spans="1:15" x14ac:dyDescent="0.3">
      <c r="A353" t="s">
        <v>366</v>
      </c>
      <c r="B353">
        <v>186</v>
      </c>
      <c r="C353">
        <v>36</v>
      </c>
      <c r="D353" s="1">
        <v>46041.716666666667</v>
      </c>
      <c r="E353">
        <v>4999</v>
      </c>
      <c r="F353" t="s">
        <v>12</v>
      </c>
      <c r="G353" t="s">
        <v>10</v>
      </c>
      <c r="H353">
        <v>36</v>
      </c>
      <c r="I353" t="str">
        <f>IFERROR(VLOOKUP(C353,Merchants!$A$2:$D$41,2,FALSE),"Merchant not found")</f>
        <v>Merchant_036</v>
      </c>
      <c r="J353" t="str">
        <f>IFERROR(VLOOKUP(C353,Merchants!$A$2:$D$41,3,FALSE),"Merchant not found")</f>
        <v>entertainment</v>
      </c>
      <c r="K353" t="str">
        <f>IFERROR(VLOOKUP(C353,Merchants!$A$2:$D$41,4,FALSE), "Merchant Not Fount")</f>
        <v>East</v>
      </c>
      <c r="L353" s="2">
        <f>HLOOKUP(F353,HLOOKUP_Reference!$A$1:$E$2,2,FALSE)</f>
        <v>2E-3</v>
      </c>
      <c r="M353">
        <f>SUMIFS(Daily_Merchant_Pivot!$E:$E,Daily_Merchant_Pivot!$A:$A,C353,Daily_Merchant_Pivot!$D:$D,INT(D353))</f>
        <v>4999</v>
      </c>
      <c r="N353" t="str">
        <f t="shared" si="10"/>
        <v>Normal Merchant Day</v>
      </c>
      <c r="O353" s="7">
        <f t="shared" si="11"/>
        <v>46041</v>
      </c>
    </row>
    <row r="354" spans="1:15" x14ac:dyDescent="0.3">
      <c r="A354" t="s">
        <v>367</v>
      </c>
      <c r="B354">
        <v>231</v>
      </c>
      <c r="C354">
        <v>36</v>
      </c>
      <c r="D354" s="1">
        <v>46025.522222222222</v>
      </c>
      <c r="E354">
        <v>149</v>
      </c>
      <c r="F354" t="s">
        <v>12</v>
      </c>
      <c r="G354" t="s">
        <v>10</v>
      </c>
      <c r="H354">
        <v>35</v>
      </c>
      <c r="I354" t="str">
        <f>IFERROR(VLOOKUP(C354,Merchants!$A$2:$D$41,2,FALSE),"Merchant not found")</f>
        <v>Merchant_036</v>
      </c>
      <c r="J354" t="str">
        <f>IFERROR(VLOOKUP(C354,Merchants!$A$2:$D$41,3,FALSE),"Merchant not found")</f>
        <v>entertainment</v>
      </c>
      <c r="K354" t="str">
        <f>IFERROR(VLOOKUP(C354,Merchants!$A$2:$D$41,4,FALSE), "Merchant Not Fount")</f>
        <v>East</v>
      </c>
      <c r="L354" s="2">
        <f>HLOOKUP(F354,HLOOKUP_Reference!$A$1:$E$2,2,FALSE)</f>
        <v>2E-3</v>
      </c>
      <c r="M354">
        <f>SUMIFS(Daily_Merchant_Pivot!$E:$E,Daily_Merchant_Pivot!$A:$A,C354,Daily_Merchant_Pivot!$D:$D,INT(D354))</f>
        <v>248</v>
      </c>
      <c r="N354" t="str">
        <f t="shared" si="10"/>
        <v>Normal Merchant Day</v>
      </c>
      <c r="O354" s="7">
        <f t="shared" si="11"/>
        <v>46025</v>
      </c>
    </row>
    <row r="355" spans="1:15" x14ac:dyDescent="0.3">
      <c r="A355" t="s">
        <v>368</v>
      </c>
      <c r="B355">
        <v>313</v>
      </c>
      <c r="C355">
        <v>8</v>
      </c>
      <c r="D355" s="1">
        <v>46049.821527777778</v>
      </c>
      <c r="E355">
        <v>1499</v>
      </c>
      <c r="F355" t="s">
        <v>15</v>
      </c>
      <c r="G355" t="s">
        <v>10</v>
      </c>
      <c r="H355">
        <v>16</v>
      </c>
      <c r="I355" t="str">
        <f>IFERROR(VLOOKUP(C355,Merchants!$A$2:$D$41,2,FALSE),"Merchant not found")</f>
        <v>Merchant_008</v>
      </c>
      <c r="J355" t="str">
        <f>IFERROR(VLOOKUP(C355,Merchants!$A$2:$D$41,3,FALSE),"Merchant not found")</f>
        <v>food_delivery</v>
      </c>
      <c r="K355" t="str">
        <f>IFERROR(VLOOKUP(C355,Merchants!$A$2:$D$41,4,FALSE), "Merchant Not Fount")</f>
        <v>North</v>
      </c>
      <c r="L355" s="2">
        <f>HLOOKUP(F355,HLOOKUP_Reference!$A$1:$E$2,2,FALSE)</f>
        <v>0.01</v>
      </c>
      <c r="M355">
        <f>SUMIFS(Daily_Merchant_Pivot!$E:$E,Daily_Merchant_Pivot!$A:$A,C355,Daily_Merchant_Pivot!$D:$D,INT(D355))</f>
        <v>1499</v>
      </c>
      <c r="N355" t="str">
        <f t="shared" si="10"/>
        <v>Normal Merchant Day</v>
      </c>
      <c r="O355" s="7">
        <f t="shared" si="11"/>
        <v>46049</v>
      </c>
    </row>
    <row r="356" spans="1:15" x14ac:dyDescent="0.3">
      <c r="A356" t="s">
        <v>369</v>
      </c>
      <c r="B356">
        <v>174</v>
      </c>
      <c r="C356">
        <v>36</v>
      </c>
      <c r="D356" s="1">
        <v>46026.515972222223</v>
      </c>
      <c r="E356">
        <v>149</v>
      </c>
      <c r="F356" t="s">
        <v>12</v>
      </c>
      <c r="G356" t="s">
        <v>10</v>
      </c>
      <c r="H356">
        <v>46</v>
      </c>
      <c r="I356" t="str">
        <f>IFERROR(VLOOKUP(C356,Merchants!$A$2:$D$41,2,FALSE),"Merchant not found")</f>
        <v>Merchant_036</v>
      </c>
      <c r="J356" t="str">
        <f>IFERROR(VLOOKUP(C356,Merchants!$A$2:$D$41,3,FALSE),"Merchant not found")</f>
        <v>entertainment</v>
      </c>
      <c r="K356" t="str">
        <f>IFERROR(VLOOKUP(C356,Merchants!$A$2:$D$41,4,FALSE), "Merchant Not Fount")</f>
        <v>East</v>
      </c>
      <c r="L356" s="2">
        <f>HLOOKUP(F356,HLOOKUP_Reference!$A$1:$E$2,2,FALSE)</f>
        <v>2E-3</v>
      </c>
      <c r="M356">
        <f>SUMIFS(Daily_Merchant_Pivot!$E:$E,Daily_Merchant_Pivot!$A:$A,C356,Daily_Merchant_Pivot!$D:$D,INT(D356))</f>
        <v>149</v>
      </c>
      <c r="N356" t="str">
        <f t="shared" si="10"/>
        <v>Normal Merchant Day</v>
      </c>
      <c r="O356" s="7">
        <f t="shared" si="11"/>
        <v>46026</v>
      </c>
    </row>
    <row r="357" spans="1:15" x14ac:dyDescent="0.3">
      <c r="A357" t="s">
        <v>370</v>
      </c>
      <c r="B357">
        <v>309</v>
      </c>
      <c r="C357">
        <v>33</v>
      </c>
      <c r="D357" s="1">
        <v>46047.175000000003</v>
      </c>
      <c r="E357">
        <v>99</v>
      </c>
      <c r="F357" t="s">
        <v>12</v>
      </c>
      <c r="G357" t="s">
        <v>10</v>
      </c>
      <c r="H357">
        <v>51</v>
      </c>
      <c r="I357" t="str">
        <f>IFERROR(VLOOKUP(C357,Merchants!$A$2:$D$41,2,FALSE),"Merchant not found")</f>
        <v>Merchant_033</v>
      </c>
      <c r="J357" t="str">
        <f>IFERROR(VLOOKUP(C357,Merchants!$A$2:$D$41,3,FALSE),"Merchant not found")</f>
        <v>bill_payment</v>
      </c>
      <c r="K357" t="str">
        <f>IFERROR(VLOOKUP(C357,Merchants!$A$2:$D$41,4,FALSE), "Merchant Not Fount")</f>
        <v>East</v>
      </c>
      <c r="L357" s="2">
        <f>HLOOKUP(F357,HLOOKUP_Reference!$A$1:$E$2,2,FALSE)</f>
        <v>2E-3</v>
      </c>
      <c r="M357">
        <f>SUMIFS(Daily_Merchant_Pivot!$E:$E,Daily_Merchant_Pivot!$A:$A,C357,Daily_Merchant_Pivot!$D:$D,INT(D357))</f>
        <v>99</v>
      </c>
      <c r="N357" t="str">
        <f t="shared" si="10"/>
        <v>Normal Merchant Day</v>
      </c>
      <c r="O357" s="7">
        <f t="shared" si="11"/>
        <v>46047</v>
      </c>
    </row>
    <row r="358" spans="1:15" x14ac:dyDescent="0.3">
      <c r="A358" t="s">
        <v>371</v>
      </c>
      <c r="B358">
        <v>20</v>
      </c>
      <c r="C358">
        <v>9</v>
      </c>
      <c r="D358" s="1">
        <v>46039.043055555558</v>
      </c>
      <c r="E358">
        <v>99</v>
      </c>
      <c r="F358" t="s">
        <v>12</v>
      </c>
      <c r="G358" t="s">
        <v>10</v>
      </c>
      <c r="H358">
        <v>91</v>
      </c>
      <c r="I358" t="str">
        <f>IFERROR(VLOOKUP(C358,Merchants!$A$2:$D$41,2,FALSE),"Merchant not found")</f>
        <v>Merchant_009</v>
      </c>
      <c r="J358" t="str">
        <f>IFERROR(VLOOKUP(C358,Merchants!$A$2:$D$41,3,FALSE),"Merchant not found")</f>
        <v>ecommerce</v>
      </c>
      <c r="K358" t="str">
        <f>IFERROR(VLOOKUP(C358,Merchants!$A$2:$D$41,4,FALSE), "Merchant Not Fount")</f>
        <v>North</v>
      </c>
      <c r="L358" s="2">
        <f>HLOOKUP(F358,HLOOKUP_Reference!$A$1:$E$2,2,FALSE)</f>
        <v>2E-3</v>
      </c>
      <c r="M358">
        <f>SUMIFS(Daily_Merchant_Pivot!$E:$E,Daily_Merchant_Pivot!$A:$A,C358,Daily_Merchant_Pivot!$D:$D,INT(D358))</f>
        <v>248</v>
      </c>
      <c r="N358" t="str">
        <f t="shared" si="10"/>
        <v>Normal Merchant Day</v>
      </c>
      <c r="O358" s="7">
        <f t="shared" si="11"/>
        <v>46039</v>
      </c>
    </row>
    <row r="359" spans="1:15" x14ac:dyDescent="0.3">
      <c r="A359" t="s">
        <v>372</v>
      </c>
      <c r="B359">
        <v>234</v>
      </c>
      <c r="C359">
        <v>10</v>
      </c>
      <c r="D359" s="1">
        <v>46033.647916666669</v>
      </c>
      <c r="E359">
        <v>49</v>
      </c>
      <c r="F359" t="s">
        <v>12</v>
      </c>
      <c r="G359" t="s">
        <v>10</v>
      </c>
      <c r="H359">
        <v>77</v>
      </c>
      <c r="I359" t="str">
        <f>IFERROR(VLOOKUP(C359,Merchants!$A$2:$D$41,2,FALSE),"Merchant not found")</f>
        <v>Merchant_010</v>
      </c>
      <c r="J359" t="str">
        <f>IFERROR(VLOOKUP(C359,Merchants!$A$2:$D$41,3,FALSE),"Merchant not found")</f>
        <v>grocery</v>
      </c>
      <c r="K359" t="str">
        <f>IFERROR(VLOOKUP(C359,Merchants!$A$2:$D$41,4,FALSE), "Merchant Not Fount")</f>
        <v>West</v>
      </c>
      <c r="L359" s="2">
        <f>HLOOKUP(F359,HLOOKUP_Reference!$A$1:$E$2,2,FALSE)</f>
        <v>2E-3</v>
      </c>
      <c r="M359">
        <f>SUMIFS(Daily_Merchant_Pivot!$E:$E,Daily_Merchant_Pivot!$A:$A,C359,Daily_Merchant_Pivot!$D:$D,INT(D359))</f>
        <v>98</v>
      </c>
      <c r="N359" t="str">
        <f t="shared" si="10"/>
        <v>Normal Merchant Day</v>
      </c>
      <c r="O359" s="7">
        <f t="shared" si="11"/>
        <v>46033</v>
      </c>
    </row>
    <row r="360" spans="1:15" x14ac:dyDescent="0.3">
      <c r="A360" t="s">
        <v>373</v>
      </c>
      <c r="B360">
        <v>168</v>
      </c>
      <c r="C360">
        <v>40</v>
      </c>
      <c r="D360" s="1">
        <v>46051.672222222223</v>
      </c>
      <c r="E360">
        <v>149</v>
      </c>
      <c r="F360" t="s">
        <v>12</v>
      </c>
      <c r="G360" t="s">
        <v>38</v>
      </c>
      <c r="H360">
        <v>40</v>
      </c>
      <c r="I360" t="str">
        <f>IFERROR(VLOOKUP(C360,Merchants!$A$2:$D$41,2,FALSE),"Merchant not found")</f>
        <v>Merchant_040</v>
      </c>
      <c r="J360" t="str">
        <f>IFERROR(VLOOKUP(C360,Merchants!$A$2:$D$41,3,FALSE),"Merchant not found")</f>
        <v>entertainment</v>
      </c>
      <c r="K360" t="str">
        <f>IFERROR(VLOOKUP(C360,Merchants!$A$2:$D$41,4,FALSE), "Merchant Not Fount")</f>
        <v>South</v>
      </c>
      <c r="L360" s="2">
        <f>HLOOKUP(F360,HLOOKUP_Reference!$A$1:$E$2,2,FALSE)</f>
        <v>2E-3</v>
      </c>
      <c r="M360">
        <f>SUMIFS(Daily_Merchant_Pivot!$E:$E,Daily_Merchant_Pivot!$A:$A,C360,Daily_Merchant_Pivot!$D:$D,INT(D360))</f>
        <v>149</v>
      </c>
      <c r="N360" t="str">
        <f t="shared" si="10"/>
        <v>Normal Merchant Day</v>
      </c>
      <c r="O360" s="7">
        <f t="shared" si="11"/>
        <v>46051</v>
      </c>
    </row>
    <row r="361" spans="1:15" x14ac:dyDescent="0.3">
      <c r="A361" t="s">
        <v>374</v>
      </c>
      <c r="B361">
        <v>154</v>
      </c>
      <c r="C361">
        <v>38</v>
      </c>
      <c r="D361" s="1">
        <v>46028.527083333334</v>
      </c>
      <c r="E361">
        <v>99</v>
      </c>
      <c r="F361" t="s">
        <v>15</v>
      </c>
      <c r="G361" t="s">
        <v>10</v>
      </c>
      <c r="H361">
        <v>43</v>
      </c>
      <c r="I361" t="str">
        <f>IFERROR(VLOOKUP(C361,Merchants!$A$2:$D$41,2,FALSE),"Merchant not found")</f>
        <v>Merchant_038</v>
      </c>
      <c r="J361" t="str">
        <f>IFERROR(VLOOKUP(C361,Merchants!$A$2:$D$41,3,FALSE),"Merchant not found")</f>
        <v>grocery</v>
      </c>
      <c r="K361" t="str">
        <f>IFERROR(VLOOKUP(C361,Merchants!$A$2:$D$41,4,FALSE), "Merchant Not Fount")</f>
        <v>East</v>
      </c>
      <c r="L361" s="2">
        <f>HLOOKUP(F361,HLOOKUP_Reference!$A$1:$E$2,2,FALSE)</f>
        <v>0.01</v>
      </c>
      <c r="M361">
        <f>SUMIFS(Daily_Merchant_Pivot!$E:$E,Daily_Merchant_Pivot!$A:$A,C361,Daily_Merchant_Pivot!$D:$D,INT(D361))</f>
        <v>99</v>
      </c>
      <c r="N361" t="str">
        <f t="shared" si="10"/>
        <v>Normal Merchant Day</v>
      </c>
      <c r="O361" s="7">
        <f t="shared" si="11"/>
        <v>46028</v>
      </c>
    </row>
    <row r="362" spans="1:15" x14ac:dyDescent="0.3">
      <c r="A362" t="s">
        <v>375</v>
      </c>
      <c r="B362">
        <v>251</v>
      </c>
      <c r="C362">
        <v>37</v>
      </c>
      <c r="D362" s="1">
        <v>46039.69027777778</v>
      </c>
      <c r="E362">
        <v>49</v>
      </c>
      <c r="F362" t="s">
        <v>12</v>
      </c>
      <c r="G362" t="s">
        <v>10</v>
      </c>
      <c r="H362">
        <v>38</v>
      </c>
      <c r="I362" t="str">
        <f>IFERROR(VLOOKUP(C362,Merchants!$A$2:$D$41,2,FALSE),"Merchant not found")</f>
        <v>Merchant_037</v>
      </c>
      <c r="J362" t="str">
        <f>IFERROR(VLOOKUP(C362,Merchants!$A$2:$D$41,3,FALSE),"Merchant not found")</f>
        <v>entertainment</v>
      </c>
      <c r="K362" t="str">
        <f>IFERROR(VLOOKUP(C362,Merchants!$A$2:$D$41,4,FALSE), "Merchant Not Fount")</f>
        <v>South</v>
      </c>
      <c r="L362" s="2">
        <f>HLOOKUP(F362,HLOOKUP_Reference!$A$1:$E$2,2,FALSE)</f>
        <v>2E-3</v>
      </c>
      <c r="M362">
        <f>SUMIFS(Daily_Merchant_Pivot!$E:$E,Daily_Merchant_Pivot!$A:$A,C362,Daily_Merchant_Pivot!$D:$D,INT(D362))</f>
        <v>49</v>
      </c>
      <c r="N362" t="str">
        <f t="shared" si="10"/>
        <v>Normal Merchant Day</v>
      </c>
      <c r="O362" s="7">
        <f t="shared" si="11"/>
        <v>46039</v>
      </c>
    </row>
    <row r="363" spans="1:15" x14ac:dyDescent="0.3">
      <c r="A363" t="s">
        <v>376</v>
      </c>
      <c r="B363">
        <v>170</v>
      </c>
      <c r="C363">
        <v>8</v>
      </c>
      <c r="D363" s="1">
        <v>46038.015972222223</v>
      </c>
      <c r="E363">
        <v>2999</v>
      </c>
      <c r="F363" t="s">
        <v>12</v>
      </c>
      <c r="G363" t="s">
        <v>10</v>
      </c>
      <c r="H363">
        <v>53</v>
      </c>
      <c r="I363" t="str">
        <f>IFERROR(VLOOKUP(C363,Merchants!$A$2:$D$41,2,FALSE),"Merchant not found")</f>
        <v>Merchant_008</v>
      </c>
      <c r="J363" t="str">
        <f>IFERROR(VLOOKUP(C363,Merchants!$A$2:$D$41,3,FALSE),"Merchant not found")</f>
        <v>food_delivery</v>
      </c>
      <c r="K363" t="str">
        <f>IFERROR(VLOOKUP(C363,Merchants!$A$2:$D$41,4,FALSE), "Merchant Not Fount")</f>
        <v>North</v>
      </c>
      <c r="L363" s="2">
        <f>HLOOKUP(F363,HLOOKUP_Reference!$A$1:$E$2,2,FALSE)</f>
        <v>2E-3</v>
      </c>
      <c r="M363">
        <f>SUMIFS(Daily_Merchant_Pivot!$E:$E,Daily_Merchant_Pivot!$A:$A,C363,Daily_Merchant_Pivot!$D:$D,INT(D363))</f>
        <v>2999</v>
      </c>
      <c r="N363" t="str">
        <f t="shared" si="10"/>
        <v>Normal Merchant Day</v>
      </c>
      <c r="O363" s="7">
        <f t="shared" si="11"/>
        <v>46038</v>
      </c>
    </row>
    <row r="364" spans="1:15" x14ac:dyDescent="0.3">
      <c r="A364" t="s">
        <v>377</v>
      </c>
      <c r="B364">
        <v>323</v>
      </c>
      <c r="C364">
        <v>2</v>
      </c>
      <c r="D364" s="1">
        <v>46041.409722222219</v>
      </c>
      <c r="E364">
        <v>49</v>
      </c>
      <c r="F364" t="s">
        <v>15</v>
      </c>
      <c r="G364" t="s">
        <v>10</v>
      </c>
      <c r="H364">
        <v>76</v>
      </c>
      <c r="I364" t="str">
        <f>IFERROR(VLOOKUP(C364,Merchants!$A$2:$D$41,2,FALSE),"Merchant not found")</f>
        <v>Merchant_002</v>
      </c>
      <c r="J364" t="str">
        <f>IFERROR(VLOOKUP(C364,Merchants!$A$2:$D$41,3,FALSE),"Merchant not found")</f>
        <v>grocery</v>
      </c>
      <c r="K364" t="str">
        <f>IFERROR(VLOOKUP(C364,Merchants!$A$2:$D$41,4,FALSE), "Merchant Not Fount")</f>
        <v>West</v>
      </c>
      <c r="L364" s="2">
        <f>HLOOKUP(F364,HLOOKUP_Reference!$A$1:$E$2,2,FALSE)</f>
        <v>0.01</v>
      </c>
      <c r="M364">
        <f>SUMIFS(Daily_Merchant_Pivot!$E:$E,Daily_Merchant_Pivot!$A:$A,C364,Daily_Merchant_Pivot!$D:$D,INT(D364))</f>
        <v>49</v>
      </c>
      <c r="N364" t="str">
        <f t="shared" si="10"/>
        <v>Normal Merchant Day</v>
      </c>
      <c r="O364" s="7">
        <f t="shared" si="11"/>
        <v>46041</v>
      </c>
    </row>
    <row r="365" spans="1:15" x14ac:dyDescent="0.3">
      <c r="A365" t="s">
        <v>378</v>
      </c>
      <c r="B365">
        <v>297</v>
      </c>
      <c r="C365">
        <v>37</v>
      </c>
      <c r="D365" s="1">
        <v>46038.361805555556</v>
      </c>
      <c r="E365">
        <v>2999</v>
      </c>
      <c r="F365" t="s">
        <v>9</v>
      </c>
      <c r="G365" t="s">
        <v>10</v>
      </c>
      <c r="H365">
        <v>29</v>
      </c>
      <c r="I365" t="str">
        <f>IFERROR(VLOOKUP(C365,Merchants!$A$2:$D$41,2,FALSE),"Merchant not found")</f>
        <v>Merchant_037</v>
      </c>
      <c r="J365" t="str">
        <f>IFERROR(VLOOKUP(C365,Merchants!$A$2:$D$41,3,FALSE),"Merchant not found")</f>
        <v>entertainment</v>
      </c>
      <c r="K365" t="str">
        <f>IFERROR(VLOOKUP(C365,Merchants!$A$2:$D$41,4,FALSE), "Merchant Not Fount")</f>
        <v>South</v>
      </c>
      <c r="L365" s="2">
        <f>HLOOKUP(F365,HLOOKUP_Reference!$A$1:$E$2,2,FALSE)</f>
        <v>6.4999999999999997E-3</v>
      </c>
      <c r="M365">
        <f>SUMIFS(Daily_Merchant_Pivot!$E:$E,Daily_Merchant_Pivot!$A:$A,C365,Daily_Merchant_Pivot!$D:$D,INT(D365))</f>
        <v>2999</v>
      </c>
      <c r="N365" t="str">
        <f t="shared" si="10"/>
        <v>Normal Merchant Day</v>
      </c>
      <c r="O365" s="7">
        <f t="shared" si="11"/>
        <v>46038</v>
      </c>
    </row>
    <row r="366" spans="1:15" x14ac:dyDescent="0.3">
      <c r="A366" t="s">
        <v>379</v>
      </c>
      <c r="B366">
        <v>246</v>
      </c>
      <c r="C366">
        <v>11</v>
      </c>
      <c r="D366" s="1">
        <v>46046.067361111112</v>
      </c>
      <c r="E366">
        <v>299</v>
      </c>
      <c r="F366" t="s">
        <v>12</v>
      </c>
      <c r="G366" t="s">
        <v>10</v>
      </c>
      <c r="H366">
        <v>67</v>
      </c>
      <c r="I366" t="str">
        <f>IFERROR(VLOOKUP(C366,Merchants!$A$2:$D$41,2,FALSE),"Merchant not found")</f>
        <v>Merchant_011</v>
      </c>
      <c r="J366" t="str">
        <f>IFERROR(VLOOKUP(C366,Merchants!$A$2:$D$41,3,FALSE),"Merchant not found")</f>
        <v>ecommerce</v>
      </c>
      <c r="K366" t="str">
        <f>IFERROR(VLOOKUP(C366,Merchants!$A$2:$D$41,4,FALSE), "Merchant Not Fount")</f>
        <v>North</v>
      </c>
      <c r="L366" s="2">
        <f>HLOOKUP(F366,HLOOKUP_Reference!$A$1:$E$2,2,FALSE)</f>
        <v>2E-3</v>
      </c>
      <c r="M366">
        <f>SUMIFS(Daily_Merchant_Pivot!$E:$E,Daily_Merchant_Pivot!$A:$A,C366,Daily_Merchant_Pivot!$D:$D,INT(D366))</f>
        <v>1798</v>
      </c>
      <c r="N366" t="str">
        <f t="shared" si="10"/>
        <v>Normal Merchant Day</v>
      </c>
      <c r="O366" s="7">
        <f t="shared" si="11"/>
        <v>46046</v>
      </c>
    </row>
    <row r="367" spans="1:15" x14ac:dyDescent="0.3">
      <c r="A367" t="s">
        <v>380</v>
      </c>
      <c r="B367">
        <v>195</v>
      </c>
      <c r="C367">
        <v>10</v>
      </c>
      <c r="D367" s="1">
        <v>46043.98541666667</v>
      </c>
      <c r="E367">
        <v>99</v>
      </c>
      <c r="F367" t="s">
        <v>12</v>
      </c>
      <c r="G367" t="s">
        <v>10</v>
      </c>
      <c r="H367">
        <v>87</v>
      </c>
      <c r="I367" t="str">
        <f>IFERROR(VLOOKUP(C367,Merchants!$A$2:$D$41,2,FALSE),"Merchant not found")</f>
        <v>Merchant_010</v>
      </c>
      <c r="J367" t="str">
        <f>IFERROR(VLOOKUP(C367,Merchants!$A$2:$D$41,3,FALSE),"Merchant not found")</f>
        <v>grocery</v>
      </c>
      <c r="K367" t="str">
        <f>IFERROR(VLOOKUP(C367,Merchants!$A$2:$D$41,4,FALSE), "Merchant Not Fount")</f>
        <v>West</v>
      </c>
      <c r="L367" s="2">
        <f>HLOOKUP(F367,HLOOKUP_Reference!$A$1:$E$2,2,FALSE)</f>
        <v>2E-3</v>
      </c>
      <c r="M367">
        <f>SUMIFS(Daily_Merchant_Pivot!$E:$E,Daily_Merchant_Pivot!$A:$A,C367,Daily_Merchant_Pivot!$D:$D,INT(D367))</f>
        <v>398</v>
      </c>
      <c r="N367" t="str">
        <f t="shared" si="10"/>
        <v>Normal Merchant Day</v>
      </c>
      <c r="O367" s="7">
        <f t="shared" si="11"/>
        <v>46043</v>
      </c>
    </row>
    <row r="368" spans="1:15" x14ac:dyDescent="0.3">
      <c r="A368" t="s">
        <v>381</v>
      </c>
      <c r="B368">
        <v>57</v>
      </c>
      <c r="C368">
        <v>13</v>
      </c>
      <c r="D368" s="1">
        <v>46030.066666666666</v>
      </c>
      <c r="E368">
        <v>149</v>
      </c>
      <c r="F368" t="s">
        <v>12</v>
      </c>
      <c r="G368" t="s">
        <v>10</v>
      </c>
      <c r="H368">
        <v>2</v>
      </c>
      <c r="I368" t="str">
        <f>IFERROR(VLOOKUP(C368,Merchants!$A$2:$D$41,2,FALSE),"Merchant not found")</f>
        <v>Merchant_013</v>
      </c>
      <c r="J368" t="str">
        <f>IFERROR(VLOOKUP(C368,Merchants!$A$2:$D$41,3,FALSE),"Merchant not found")</f>
        <v>travel</v>
      </c>
      <c r="K368" t="str">
        <f>IFERROR(VLOOKUP(C368,Merchants!$A$2:$D$41,4,FALSE), "Merchant Not Fount")</f>
        <v>East</v>
      </c>
      <c r="L368" s="2">
        <f>HLOOKUP(F368,HLOOKUP_Reference!$A$1:$E$2,2,FALSE)</f>
        <v>2E-3</v>
      </c>
      <c r="M368">
        <f>SUMIFS(Daily_Merchant_Pivot!$E:$E,Daily_Merchant_Pivot!$A:$A,C368,Daily_Merchant_Pivot!$D:$D,INT(D368))</f>
        <v>149</v>
      </c>
      <c r="N368" t="str">
        <f t="shared" si="10"/>
        <v>Normal Merchant Day</v>
      </c>
      <c r="O368" s="7">
        <f t="shared" si="11"/>
        <v>46030</v>
      </c>
    </row>
    <row r="369" spans="1:15" x14ac:dyDescent="0.3">
      <c r="A369" t="s">
        <v>382</v>
      </c>
      <c r="B369">
        <v>78</v>
      </c>
      <c r="C369">
        <v>27</v>
      </c>
      <c r="D369" s="1">
        <v>46037.43472222222</v>
      </c>
      <c r="E369">
        <v>1499</v>
      </c>
      <c r="F369" t="s">
        <v>15</v>
      </c>
      <c r="G369" t="s">
        <v>25</v>
      </c>
      <c r="H369">
        <v>88</v>
      </c>
      <c r="I369" t="str">
        <f>IFERROR(VLOOKUP(C369,Merchants!$A$2:$D$41,2,FALSE),"Merchant not found")</f>
        <v>Merchant_027</v>
      </c>
      <c r="J369" t="str">
        <f>IFERROR(VLOOKUP(C369,Merchants!$A$2:$D$41,3,FALSE),"Merchant not found")</f>
        <v>ecommerce</v>
      </c>
      <c r="K369" t="str">
        <f>IFERROR(VLOOKUP(C369,Merchants!$A$2:$D$41,4,FALSE), "Merchant Not Fount")</f>
        <v>North</v>
      </c>
      <c r="L369" s="2">
        <f>HLOOKUP(F369,HLOOKUP_Reference!$A$1:$E$2,2,FALSE)</f>
        <v>0.01</v>
      </c>
      <c r="M369">
        <f>SUMIFS(Daily_Merchant_Pivot!$E:$E,Daily_Merchant_Pivot!$A:$A,C369,Daily_Merchant_Pivot!$D:$D,INT(D369))</f>
        <v>1499</v>
      </c>
      <c r="N369" t="str">
        <f t="shared" si="10"/>
        <v>Normal Merchant Day</v>
      </c>
      <c r="O369" s="7">
        <f t="shared" si="11"/>
        <v>46037</v>
      </c>
    </row>
    <row r="370" spans="1:15" x14ac:dyDescent="0.3">
      <c r="A370" t="s">
        <v>383</v>
      </c>
      <c r="B370">
        <v>314</v>
      </c>
      <c r="C370">
        <v>31</v>
      </c>
      <c r="D370" s="1">
        <v>46029.563888888886</v>
      </c>
      <c r="E370">
        <v>49</v>
      </c>
      <c r="F370" t="s">
        <v>12</v>
      </c>
      <c r="G370" t="s">
        <v>38</v>
      </c>
      <c r="H370">
        <v>94</v>
      </c>
      <c r="I370" t="str">
        <f>IFERROR(VLOOKUP(C370,Merchants!$A$2:$D$41,2,FALSE),"Merchant not found")</f>
        <v>Merchant_031</v>
      </c>
      <c r="J370" t="str">
        <f>IFERROR(VLOOKUP(C370,Merchants!$A$2:$D$41,3,FALSE),"Merchant not found")</f>
        <v>bill_payment</v>
      </c>
      <c r="K370" t="str">
        <f>IFERROR(VLOOKUP(C370,Merchants!$A$2:$D$41,4,FALSE), "Merchant Not Fount")</f>
        <v>East</v>
      </c>
      <c r="L370" s="2">
        <f>HLOOKUP(F370,HLOOKUP_Reference!$A$1:$E$2,2,FALSE)</f>
        <v>2E-3</v>
      </c>
      <c r="M370">
        <f>SUMIFS(Daily_Merchant_Pivot!$E:$E,Daily_Merchant_Pivot!$A:$A,C370,Daily_Merchant_Pivot!$D:$D,INT(D370))</f>
        <v>49</v>
      </c>
      <c r="N370" t="str">
        <f t="shared" si="10"/>
        <v>Normal Merchant Day</v>
      </c>
      <c r="O370" s="7">
        <f t="shared" si="11"/>
        <v>46029</v>
      </c>
    </row>
    <row r="371" spans="1:15" x14ac:dyDescent="0.3">
      <c r="A371" t="s">
        <v>384</v>
      </c>
      <c r="B371">
        <v>71</v>
      </c>
      <c r="C371">
        <v>34</v>
      </c>
      <c r="D371" s="1">
        <v>46046.072916666664</v>
      </c>
      <c r="E371">
        <v>499</v>
      </c>
      <c r="F371" t="s">
        <v>12</v>
      </c>
      <c r="G371" t="s">
        <v>10</v>
      </c>
      <c r="H371">
        <v>26</v>
      </c>
      <c r="I371" t="str">
        <f>IFERROR(VLOOKUP(C371,Merchants!$A$2:$D$41,2,FALSE),"Merchant not found")</f>
        <v>Merchant_034</v>
      </c>
      <c r="J371" t="str">
        <f>IFERROR(VLOOKUP(C371,Merchants!$A$2:$D$41,3,FALSE),"Merchant not found")</f>
        <v>travel</v>
      </c>
      <c r="K371" t="str">
        <f>IFERROR(VLOOKUP(C371,Merchants!$A$2:$D$41,4,FALSE), "Merchant Not Fount")</f>
        <v>South</v>
      </c>
      <c r="L371" s="2">
        <f>HLOOKUP(F371,HLOOKUP_Reference!$A$1:$E$2,2,FALSE)</f>
        <v>2E-3</v>
      </c>
      <c r="M371">
        <f>SUMIFS(Daily_Merchant_Pivot!$E:$E,Daily_Merchant_Pivot!$A:$A,C371,Daily_Merchant_Pivot!$D:$D,INT(D371))</f>
        <v>548</v>
      </c>
      <c r="N371" t="str">
        <f t="shared" si="10"/>
        <v>Normal Merchant Day</v>
      </c>
      <c r="O371" s="7">
        <f t="shared" si="11"/>
        <v>46046</v>
      </c>
    </row>
    <row r="372" spans="1:15" x14ac:dyDescent="0.3">
      <c r="A372" t="s">
        <v>385</v>
      </c>
      <c r="B372">
        <v>245</v>
      </c>
      <c r="C372">
        <v>34</v>
      </c>
      <c r="D372" s="1">
        <v>46040.445833333331</v>
      </c>
      <c r="E372">
        <v>99</v>
      </c>
      <c r="F372" t="s">
        <v>12</v>
      </c>
      <c r="G372" t="s">
        <v>10</v>
      </c>
      <c r="H372">
        <v>48</v>
      </c>
      <c r="I372" t="str">
        <f>IFERROR(VLOOKUP(C372,Merchants!$A$2:$D$41,2,FALSE),"Merchant not found")</f>
        <v>Merchant_034</v>
      </c>
      <c r="J372" t="str">
        <f>IFERROR(VLOOKUP(C372,Merchants!$A$2:$D$41,3,FALSE),"Merchant not found")</f>
        <v>travel</v>
      </c>
      <c r="K372" t="str">
        <f>IFERROR(VLOOKUP(C372,Merchants!$A$2:$D$41,4,FALSE), "Merchant Not Fount")</f>
        <v>South</v>
      </c>
      <c r="L372" s="2">
        <f>HLOOKUP(F372,HLOOKUP_Reference!$A$1:$E$2,2,FALSE)</f>
        <v>2E-3</v>
      </c>
      <c r="M372">
        <f>SUMIFS(Daily_Merchant_Pivot!$E:$E,Daily_Merchant_Pivot!$A:$A,C372,Daily_Merchant_Pivot!$D:$D,INT(D372))</f>
        <v>148</v>
      </c>
      <c r="N372" t="str">
        <f t="shared" si="10"/>
        <v>Normal Merchant Day</v>
      </c>
      <c r="O372" s="7">
        <f t="shared" si="11"/>
        <v>46040</v>
      </c>
    </row>
    <row r="373" spans="1:15" x14ac:dyDescent="0.3">
      <c r="A373" t="s">
        <v>386</v>
      </c>
      <c r="B373">
        <v>273</v>
      </c>
      <c r="C373">
        <v>22</v>
      </c>
      <c r="D373" s="1">
        <v>46033.228472222225</v>
      </c>
      <c r="E373">
        <v>299</v>
      </c>
      <c r="F373" t="s">
        <v>9</v>
      </c>
      <c r="G373" t="s">
        <v>10</v>
      </c>
      <c r="H373">
        <v>69</v>
      </c>
      <c r="I373" t="str">
        <f>IFERROR(VLOOKUP(C373,Merchants!$A$2:$D$41,2,FALSE),"Merchant not found")</f>
        <v>Merchant_022</v>
      </c>
      <c r="J373" t="str">
        <f>IFERROR(VLOOKUP(C373,Merchants!$A$2:$D$41,3,FALSE),"Merchant not found")</f>
        <v>travel</v>
      </c>
      <c r="K373" t="str">
        <f>IFERROR(VLOOKUP(C373,Merchants!$A$2:$D$41,4,FALSE), "Merchant Not Fount")</f>
        <v>South</v>
      </c>
      <c r="L373" s="2">
        <f>HLOOKUP(F373,HLOOKUP_Reference!$A$1:$E$2,2,FALSE)</f>
        <v>6.4999999999999997E-3</v>
      </c>
      <c r="M373">
        <f>SUMIFS(Daily_Merchant_Pivot!$E:$E,Daily_Merchant_Pivot!$A:$A,C373,Daily_Merchant_Pivot!$D:$D,INT(D373))</f>
        <v>299</v>
      </c>
      <c r="N373" t="str">
        <f t="shared" si="10"/>
        <v>Normal Merchant Day</v>
      </c>
      <c r="O373" s="7">
        <f t="shared" si="11"/>
        <v>46033</v>
      </c>
    </row>
    <row r="374" spans="1:15" x14ac:dyDescent="0.3">
      <c r="A374" t="s">
        <v>387</v>
      </c>
      <c r="B374">
        <v>349</v>
      </c>
      <c r="C374">
        <v>17</v>
      </c>
      <c r="D374" s="1">
        <v>46034.90902777778</v>
      </c>
      <c r="E374">
        <v>1499</v>
      </c>
      <c r="F374" t="s">
        <v>12</v>
      </c>
      <c r="G374" t="s">
        <v>10</v>
      </c>
      <c r="H374">
        <v>78</v>
      </c>
      <c r="I374" t="str">
        <f>IFERROR(VLOOKUP(C374,Merchants!$A$2:$D$41,2,FALSE),"Merchant not found")</f>
        <v>Merchant_017</v>
      </c>
      <c r="J374" t="str">
        <f>IFERROR(VLOOKUP(C374,Merchants!$A$2:$D$41,3,FALSE),"Merchant not found")</f>
        <v>grocery</v>
      </c>
      <c r="K374" t="str">
        <f>IFERROR(VLOOKUP(C374,Merchants!$A$2:$D$41,4,FALSE), "Merchant Not Fount")</f>
        <v>North</v>
      </c>
      <c r="L374" s="2">
        <f>HLOOKUP(F374,HLOOKUP_Reference!$A$1:$E$2,2,FALSE)</f>
        <v>2E-3</v>
      </c>
      <c r="M374">
        <f>SUMIFS(Daily_Merchant_Pivot!$E:$E,Daily_Merchant_Pivot!$A:$A,C374,Daily_Merchant_Pivot!$D:$D,INT(D374))</f>
        <v>1499</v>
      </c>
      <c r="N374" t="str">
        <f t="shared" si="10"/>
        <v>Normal Merchant Day</v>
      </c>
      <c r="O374" s="7">
        <f t="shared" si="11"/>
        <v>46034</v>
      </c>
    </row>
    <row r="375" spans="1:15" x14ac:dyDescent="0.3">
      <c r="A375" t="s">
        <v>388</v>
      </c>
      <c r="B375">
        <v>143</v>
      </c>
      <c r="C375">
        <v>36</v>
      </c>
      <c r="D375" s="1">
        <v>46038.260416666664</v>
      </c>
      <c r="E375">
        <v>1499</v>
      </c>
      <c r="F375" t="s">
        <v>15</v>
      </c>
      <c r="G375" t="s">
        <v>10</v>
      </c>
      <c r="H375">
        <v>38</v>
      </c>
      <c r="I375" t="str">
        <f>IFERROR(VLOOKUP(C375,Merchants!$A$2:$D$41,2,FALSE),"Merchant not found")</f>
        <v>Merchant_036</v>
      </c>
      <c r="J375" t="str">
        <f>IFERROR(VLOOKUP(C375,Merchants!$A$2:$D$41,3,FALSE),"Merchant not found")</f>
        <v>entertainment</v>
      </c>
      <c r="K375" t="str">
        <f>IFERROR(VLOOKUP(C375,Merchants!$A$2:$D$41,4,FALSE), "Merchant Not Fount")</f>
        <v>East</v>
      </c>
      <c r="L375" s="2">
        <f>HLOOKUP(F375,HLOOKUP_Reference!$A$1:$E$2,2,FALSE)</f>
        <v>0.01</v>
      </c>
      <c r="M375">
        <f>SUMIFS(Daily_Merchant_Pivot!$E:$E,Daily_Merchant_Pivot!$A:$A,C375,Daily_Merchant_Pivot!$D:$D,INT(D375))</f>
        <v>1499</v>
      </c>
      <c r="N375" t="str">
        <f t="shared" si="10"/>
        <v>Normal Merchant Day</v>
      </c>
      <c r="O375" s="7">
        <f t="shared" si="11"/>
        <v>46038</v>
      </c>
    </row>
    <row r="376" spans="1:15" x14ac:dyDescent="0.3">
      <c r="A376" t="s">
        <v>389</v>
      </c>
      <c r="B376">
        <v>148</v>
      </c>
      <c r="C376">
        <v>14</v>
      </c>
      <c r="D376" s="1">
        <v>46030.40902777778</v>
      </c>
      <c r="E376">
        <v>799</v>
      </c>
      <c r="F376" t="s">
        <v>9</v>
      </c>
      <c r="G376" t="s">
        <v>10</v>
      </c>
      <c r="H376">
        <v>88</v>
      </c>
      <c r="I376" t="str">
        <f>IFERROR(VLOOKUP(C376,Merchants!$A$2:$D$41,2,FALSE),"Merchant not found")</f>
        <v>Merchant_014</v>
      </c>
      <c r="J376" t="str">
        <f>IFERROR(VLOOKUP(C376,Merchants!$A$2:$D$41,3,FALSE),"Merchant not found")</f>
        <v>grocery</v>
      </c>
      <c r="K376" t="str">
        <f>IFERROR(VLOOKUP(C376,Merchants!$A$2:$D$41,4,FALSE), "Merchant Not Fount")</f>
        <v>East</v>
      </c>
      <c r="L376" s="2">
        <f>HLOOKUP(F376,HLOOKUP_Reference!$A$1:$E$2,2,FALSE)</f>
        <v>6.4999999999999997E-3</v>
      </c>
      <c r="M376">
        <f>SUMIFS(Daily_Merchant_Pivot!$E:$E,Daily_Merchant_Pivot!$A:$A,C376,Daily_Merchant_Pivot!$D:$D,INT(D376))</f>
        <v>799</v>
      </c>
      <c r="N376" t="str">
        <f t="shared" si="10"/>
        <v>Normal Merchant Day</v>
      </c>
      <c r="O376" s="7">
        <f t="shared" si="11"/>
        <v>46030</v>
      </c>
    </row>
    <row r="377" spans="1:15" x14ac:dyDescent="0.3">
      <c r="A377" t="s">
        <v>390</v>
      </c>
      <c r="B377">
        <v>246</v>
      </c>
      <c r="C377">
        <v>23</v>
      </c>
      <c r="D377" s="1">
        <v>46045.638888888891</v>
      </c>
      <c r="E377">
        <v>49</v>
      </c>
      <c r="F377" t="s">
        <v>12</v>
      </c>
      <c r="G377" t="s">
        <v>10</v>
      </c>
      <c r="H377">
        <v>71</v>
      </c>
      <c r="I377" t="str">
        <f>IFERROR(VLOOKUP(C377,Merchants!$A$2:$D$41,2,FALSE),"Merchant not found")</f>
        <v>Merchant_023</v>
      </c>
      <c r="J377" t="str">
        <f>IFERROR(VLOOKUP(C377,Merchants!$A$2:$D$41,3,FALSE),"Merchant not found")</f>
        <v>travel</v>
      </c>
      <c r="K377" t="str">
        <f>IFERROR(VLOOKUP(C377,Merchants!$A$2:$D$41,4,FALSE), "Merchant Not Fount")</f>
        <v>North</v>
      </c>
      <c r="L377" s="2">
        <f>HLOOKUP(F377,HLOOKUP_Reference!$A$1:$E$2,2,FALSE)</f>
        <v>2E-3</v>
      </c>
      <c r="M377">
        <f>SUMIFS(Daily_Merchant_Pivot!$E:$E,Daily_Merchant_Pivot!$A:$A,C377,Daily_Merchant_Pivot!$D:$D,INT(D377))</f>
        <v>247</v>
      </c>
      <c r="N377" t="str">
        <f t="shared" si="10"/>
        <v>Normal Merchant Day</v>
      </c>
      <c r="O377" s="7">
        <f t="shared" si="11"/>
        <v>46045</v>
      </c>
    </row>
    <row r="378" spans="1:15" x14ac:dyDescent="0.3">
      <c r="A378" t="s">
        <v>391</v>
      </c>
      <c r="B378">
        <v>148</v>
      </c>
      <c r="C378">
        <v>8</v>
      </c>
      <c r="D378" s="1">
        <v>46052.970138888886</v>
      </c>
      <c r="E378">
        <v>99</v>
      </c>
      <c r="F378" t="s">
        <v>9</v>
      </c>
      <c r="G378" t="s">
        <v>10</v>
      </c>
      <c r="H378">
        <v>73</v>
      </c>
      <c r="I378" t="str">
        <f>IFERROR(VLOOKUP(C378,Merchants!$A$2:$D$41,2,FALSE),"Merchant not found")</f>
        <v>Merchant_008</v>
      </c>
      <c r="J378" t="str">
        <f>IFERROR(VLOOKUP(C378,Merchants!$A$2:$D$41,3,FALSE),"Merchant not found")</f>
        <v>food_delivery</v>
      </c>
      <c r="K378" t="str">
        <f>IFERROR(VLOOKUP(C378,Merchants!$A$2:$D$41,4,FALSE), "Merchant Not Fount")</f>
        <v>North</v>
      </c>
      <c r="L378" s="2">
        <f>HLOOKUP(F378,HLOOKUP_Reference!$A$1:$E$2,2,FALSE)</f>
        <v>6.4999999999999997E-3</v>
      </c>
      <c r="M378">
        <f>SUMIFS(Daily_Merchant_Pivot!$E:$E,Daily_Merchant_Pivot!$A:$A,C378,Daily_Merchant_Pivot!$D:$D,INT(D378))</f>
        <v>99</v>
      </c>
      <c r="N378" t="str">
        <f t="shared" si="10"/>
        <v>Normal Merchant Day</v>
      </c>
      <c r="O378" s="7">
        <f t="shared" si="11"/>
        <v>46052</v>
      </c>
    </row>
    <row r="379" spans="1:15" x14ac:dyDescent="0.3">
      <c r="A379" t="s">
        <v>392</v>
      </c>
      <c r="B379">
        <v>203</v>
      </c>
      <c r="C379">
        <v>23</v>
      </c>
      <c r="D379" s="1">
        <v>46044.724999999999</v>
      </c>
      <c r="E379">
        <v>49</v>
      </c>
      <c r="F379" t="s">
        <v>12</v>
      </c>
      <c r="G379" t="s">
        <v>10</v>
      </c>
      <c r="H379">
        <v>98</v>
      </c>
      <c r="I379" t="str">
        <f>IFERROR(VLOOKUP(C379,Merchants!$A$2:$D$41,2,FALSE),"Merchant not found")</f>
        <v>Merchant_023</v>
      </c>
      <c r="J379" t="str">
        <f>IFERROR(VLOOKUP(C379,Merchants!$A$2:$D$41,3,FALSE),"Merchant not found")</f>
        <v>travel</v>
      </c>
      <c r="K379" t="str">
        <f>IFERROR(VLOOKUP(C379,Merchants!$A$2:$D$41,4,FALSE), "Merchant Not Fount")</f>
        <v>North</v>
      </c>
      <c r="L379" s="2">
        <f>HLOOKUP(F379,HLOOKUP_Reference!$A$1:$E$2,2,FALSE)</f>
        <v>2E-3</v>
      </c>
      <c r="M379">
        <f>SUMIFS(Daily_Merchant_Pivot!$E:$E,Daily_Merchant_Pivot!$A:$A,C379,Daily_Merchant_Pivot!$D:$D,INT(D379))</f>
        <v>49</v>
      </c>
      <c r="N379" t="str">
        <f t="shared" si="10"/>
        <v>Normal Merchant Day</v>
      </c>
      <c r="O379" s="7">
        <f t="shared" si="11"/>
        <v>46044</v>
      </c>
    </row>
    <row r="380" spans="1:15" x14ac:dyDescent="0.3">
      <c r="A380" t="s">
        <v>393</v>
      </c>
      <c r="B380">
        <v>22</v>
      </c>
      <c r="C380">
        <v>19</v>
      </c>
      <c r="D380" s="1">
        <v>46048.179166666669</v>
      </c>
      <c r="E380">
        <v>49</v>
      </c>
      <c r="F380" t="s">
        <v>24</v>
      </c>
      <c r="G380" t="s">
        <v>10</v>
      </c>
      <c r="H380">
        <v>91</v>
      </c>
      <c r="I380" t="str">
        <f>IFERROR(VLOOKUP(C380,Merchants!$A$2:$D$41,2,FALSE),"Merchant not found")</f>
        <v>Merchant_019</v>
      </c>
      <c r="J380" t="str">
        <f>IFERROR(VLOOKUP(C380,Merchants!$A$2:$D$41,3,FALSE),"Merchant not found")</f>
        <v>grocery</v>
      </c>
      <c r="K380" t="str">
        <f>IFERROR(VLOOKUP(C380,Merchants!$A$2:$D$41,4,FALSE), "Merchant Not Fount")</f>
        <v>North</v>
      </c>
      <c r="L380" s="2">
        <f>HLOOKUP(F380,HLOOKUP_Reference!$A$1:$E$2,2,FALSE)</f>
        <v>1.4999999999999999E-2</v>
      </c>
      <c r="M380">
        <f>SUMIFS(Daily_Merchant_Pivot!$E:$E,Daily_Merchant_Pivot!$A:$A,C380,Daily_Merchant_Pivot!$D:$D,INT(D380))</f>
        <v>49</v>
      </c>
      <c r="N380" t="str">
        <f t="shared" si="10"/>
        <v>Normal Merchant Day</v>
      </c>
      <c r="O380" s="7">
        <f t="shared" si="11"/>
        <v>46048</v>
      </c>
    </row>
    <row r="381" spans="1:15" x14ac:dyDescent="0.3">
      <c r="A381" t="s">
        <v>394</v>
      </c>
      <c r="B381">
        <v>227</v>
      </c>
      <c r="C381">
        <v>17</v>
      </c>
      <c r="D381" s="1">
        <v>46025.499305555553</v>
      </c>
      <c r="E381">
        <v>299</v>
      </c>
      <c r="F381" t="s">
        <v>9</v>
      </c>
      <c r="G381" t="s">
        <v>10</v>
      </c>
      <c r="H381">
        <v>95</v>
      </c>
      <c r="I381" t="str">
        <f>IFERROR(VLOOKUP(C381,Merchants!$A$2:$D$41,2,FALSE),"Merchant not found")</f>
        <v>Merchant_017</v>
      </c>
      <c r="J381" t="str">
        <f>IFERROR(VLOOKUP(C381,Merchants!$A$2:$D$41,3,FALSE),"Merchant not found")</f>
        <v>grocery</v>
      </c>
      <c r="K381" t="str">
        <f>IFERROR(VLOOKUP(C381,Merchants!$A$2:$D$41,4,FALSE), "Merchant Not Fount")</f>
        <v>North</v>
      </c>
      <c r="L381" s="2">
        <f>HLOOKUP(F381,HLOOKUP_Reference!$A$1:$E$2,2,FALSE)</f>
        <v>6.4999999999999997E-3</v>
      </c>
      <c r="M381">
        <f>SUMIFS(Daily_Merchant_Pivot!$E:$E,Daily_Merchant_Pivot!$A:$A,C381,Daily_Merchant_Pivot!$D:$D,INT(D381))</f>
        <v>398</v>
      </c>
      <c r="N381" t="str">
        <f t="shared" si="10"/>
        <v>Normal Merchant Day</v>
      </c>
      <c r="O381" s="7">
        <f t="shared" si="11"/>
        <v>46025</v>
      </c>
    </row>
    <row r="382" spans="1:15" x14ac:dyDescent="0.3">
      <c r="A382" t="s">
        <v>395</v>
      </c>
      <c r="B382">
        <v>276</v>
      </c>
      <c r="C382">
        <v>18</v>
      </c>
      <c r="D382" s="1">
        <v>46038.258333333331</v>
      </c>
      <c r="E382">
        <v>149</v>
      </c>
      <c r="F382" t="s">
        <v>9</v>
      </c>
      <c r="G382" t="s">
        <v>10</v>
      </c>
      <c r="H382">
        <v>71</v>
      </c>
      <c r="I382" t="str">
        <f>IFERROR(VLOOKUP(C382,Merchants!$A$2:$D$41,2,FALSE),"Merchant not found")</f>
        <v>Merchant_018</v>
      </c>
      <c r="J382" t="str">
        <f>IFERROR(VLOOKUP(C382,Merchants!$A$2:$D$41,3,FALSE),"Merchant not found")</f>
        <v>grocery</v>
      </c>
      <c r="K382" t="str">
        <f>IFERROR(VLOOKUP(C382,Merchants!$A$2:$D$41,4,FALSE), "Merchant Not Fount")</f>
        <v>West</v>
      </c>
      <c r="L382" s="2">
        <f>HLOOKUP(F382,HLOOKUP_Reference!$A$1:$E$2,2,FALSE)</f>
        <v>6.4999999999999997E-3</v>
      </c>
      <c r="M382">
        <f>SUMIFS(Daily_Merchant_Pivot!$E:$E,Daily_Merchant_Pivot!$A:$A,C382,Daily_Merchant_Pivot!$D:$D,INT(D382))</f>
        <v>3148</v>
      </c>
      <c r="N382" t="str">
        <f t="shared" si="10"/>
        <v>Normal Merchant Day</v>
      </c>
      <c r="O382" s="7">
        <f t="shared" si="11"/>
        <v>46038</v>
      </c>
    </row>
    <row r="383" spans="1:15" x14ac:dyDescent="0.3">
      <c r="A383" t="s">
        <v>396</v>
      </c>
      <c r="B383">
        <v>56</v>
      </c>
      <c r="C383">
        <v>40</v>
      </c>
      <c r="D383" s="1">
        <v>46045.338888888888</v>
      </c>
      <c r="E383">
        <v>99</v>
      </c>
      <c r="F383" t="s">
        <v>24</v>
      </c>
      <c r="G383" t="s">
        <v>10</v>
      </c>
      <c r="H383">
        <v>94</v>
      </c>
      <c r="I383" t="str">
        <f>IFERROR(VLOOKUP(C383,Merchants!$A$2:$D$41,2,FALSE),"Merchant not found")</f>
        <v>Merchant_040</v>
      </c>
      <c r="J383" t="str">
        <f>IFERROR(VLOOKUP(C383,Merchants!$A$2:$D$41,3,FALSE),"Merchant not found")</f>
        <v>entertainment</v>
      </c>
      <c r="K383" t="str">
        <f>IFERROR(VLOOKUP(C383,Merchants!$A$2:$D$41,4,FALSE), "Merchant Not Fount")</f>
        <v>South</v>
      </c>
      <c r="L383" s="2">
        <f>HLOOKUP(F383,HLOOKUP_Reference!$A$1:$E$2,2,FALSE)</f>
        <v>1.4999999999999999E-2</v>
      </c>
      <c r="M383">
        <f>SUMIFS(Daily_Merchant_Pivot!$E:$E,Daily_Merchant_Pivot!$A:$A,C383,Daily_Merchant_Pivot!$D:$D,INT(D383))</f>
        <v>598</v>
      </c>
      <c r="N383" t="str">
        <f t="shared" si="10"/>
        <v>Normal Merchant Day</v>
      </c>
      <c r="O383" s="7">
        <f t="shared" si="11"/>
        <v>46045</v>
      </c>
    </row>
    <row r="384" spans="1:15" x14ac:dyDescent="0.3">
      <c r="A384" t="s">
        <v>397</v>
      </c>
      <c r="B384">
        <v>26</v>
      </c>
      <c r="C384">
        <v>34</v>
      </c>
      <c r="D384" s="1">
        <v>46041.302083333336</v>
      </c>
      <c r="E384">
        <v>499</v>
      </c>
      <c r="F384" t="s">
        <v>24</v>
      </c>
      <c r="G384" t="s">
        <v>10</v>
      </c>
      <c r="H384">
        <v>28</v>
      </c>
      <c r="I384" t="str">
        <f>IFERROR(VLOOKUP(C384,Merchants!$A$2:$D$41,2,FALSE),"Merchant not found")</f>
        <v>Merchant_034</v>
      </c>
      <c r="J384" t="str">
        <f>IFERROR(VLOOKUP(C384,Merchants!$A$2:$D$41,3,FALSE),"Merchant not found")</f>
        <v>travel</v>
      </c>
      <c r="K384" t="str">
        <f>IFERROR(VLOOKUP(C384,Merchants!$A$2:$D$41,4,FALSE), "Merchant Not Fount")</f>
        <v>South</v>
      </c>
      <c r="L384" s="2">
        <f>HLOOKUP(F384,HLOOKUP_Reference!$A$1:$E$2,2,FALSE)</f>
        <v>1.4999999999999999E-2</v>
      </c>
      <c r="M384">
        <f>SUMIFS(Daily_Merchant_Pivot!$E:$E,Daily_Merchant_Pivot!$A:$A,C384,Daily_Merchant_Pivot!$D:$D,INT(D384))</f>
        <v>499</v>
      </c>
      <c r="N384" t="str">
        <f t="shared" si="10"/>
        <v>Normal Merchant Day</v>
      </c>
      <c r="O384" s="7">
        <f t="shared" si="11"/>
        <v>46041</v>
      </c>
    </row>
    <row r="385" spans="1:15" x14ac:dyDescent="0.3">
      <c r="A385" t="s">
        <v>398</v>
      </c>
      <c r="B385">
        <v>52</v>
      </c>
      <c r="C385">
        <v>27</v>
      </c>
      <c r="D385" s="1">
        <v>46043.293749999997</v>
      </c>
      <c r="E385">
        <v>499</v>
      </c>
      <c r="F385" t="s">
        <v>24</v>
      </c>
      <c r="G385" t="s">
        <v>10</v>
      </c>
      <c r="H385">
        <v>42</v>
      </c>
      <c r="I385" t="str">
        <f>IFERROR(VLOOKUP(C385,Merchants!$A$2:$D$41,2,FALSE),"Merchant not found")</f>
        <v>Merchant_027</v>
      </c>
      <c r="J385" t="str">
        <f>IFERROR(VLOOKUP(C385,Merchants!$A$2:$D$41,3,FALSE),"Merchant not found")</f>
        <v>ecommerce</v>
      </c>
      <c r="K385" t="str">
        <f>IFERROR(VLOOKUP(C385,Merchants!$A$2:$D$41,4,FALSE), "Merchant Not Fount")</f>
        <v>North</v>
      </c>
      <c r="L385" s="2">
        <f>HLOOKUP(F385,HLOOKUP_Reference!$A$1:$E$2,2,FALSE)</f>
        <v>1.4999999999999999E-2</v>
      </c>
      <c r="M385">
        <f>SUMIFS(Daily_Merchant_Pivot!$E:$E,Daily_Merchant_Pivot!$A:$A,C385,Daily_Merchant_Pivot!$D:$D,INT(D385))</f>
        <v>499</v>
      </c>
      <c r="N385" t="str">
        <f t="shared" si="10"/>
        <v>Normal Merchant Day</v>
      </c>
      <c r="O385" s="7">
        <f t="shared" si="11"/>
        <v>46043</v>
      </c>
    </row>
    <row r="386" spans="1:15" x14ac:dyDescent="0.3">
      <c r="A386" t="s">
        <v>399</v>
      </c>
      <c r="B386">
        <v>349</v>
      </c>
      <c r="C386">
        <v>9</v>
      </c>
      <c r="D386" s="1">
        <v>46045.629166666666</v>
      </c>
      <c r="E386">
        <v>499</v>
      </c>
      <c r="F386" t="s">
        <v>9</v>
      </c>
      <c r="G386" t="s">
        <v>10</v>
      </c>
      <c r="H386">
        <v>0</v>
      </c>
      <c r="I386" t="str">
        <f>IFERROR(VLOOKUP(C386,Merchants!$A$2:$D$41,2,FALSE),"Merchant not found")</f>
        <v>Merchant_009</v>
      </c>
      <c r="J386" t="str">
        <f>IFERROR(VLOOKUP(C386,Merchants!$A$2:$D$41,3,FALSE),"Merchant not found")</f>
        <v>ecommerce</v>
      </c>
      <c r="K386" t="str">
        <f>IFERROR(VLOOKUP(C386,Merchants!$A$2:$D$41,4,FALSE), "Merchant Not Fount")</f>
        <v>North</v>
      </c>
      <c r="L386" s="2">
        <f>HLOOKUP(F386,HLOOKUP_Reference!$A$1:$E$2,2,FALSE)</f>
        <v>6.4999999999999997E-3</v>
      </c>
      <c r="M386">
        <f>SUMIFS(Daily_Merchant_Pivot!$E:$E,Daily_Merchant_Pivot!$A:$A,C386,Daily_Merchant_Pivot!$D:$D,INT(D386))</f>
        <v>898</v>
      </c>
      <c r="N386" t="str">
        <f t="shared" si="10"/>
        <v>Normal Merchant Day</v>
      </c>
      <c r="O386" s="7">
        <f t="shared" si="11"/>
        <v>46045</v>
      </c>
    </row>
    <row r="387" spans="1:15" x14ac:dyDescent="0.3">
      <c r="A387" t="s">
        <v>400</v>
      </c>
      <c r="B387">
        <v>335</v>
      </c>
      <c r="C387">
        <v>31</v>
      </c>
      <c r="D387" s="1">
        <v>46040.226388888892</v>
      </c>
      <c r="E387">
        <v>49</v>
      </c>
      <c r="F387" t="s">
        <v>24</v>
      </c>
      <c r="G387" t="s">
        <v>10</v>
      </c>
      <c r="H387">
        <v>61</v>
      </c>
      <c r="I387" t="str">
        <f>IFERROR(VLOOKUP(C387,Merchants!$A$2:$D$41,2,FALSE),"Merchant not found")</f>
        <v>Merchant_031</v>
      </c>
      <c r="J387" t="str">
        <f>IFERROR(VLOOKUP(C387,Merchants!$A$2:$D$41,3,FALSE),"Merchant not found")</f>
        <v>bill_payment</v>
      </c>
      <c r="K387" t="str">
        <f>IFERROR(VLOOKUP(C387,Merchants!$A$2:$D$41,4,FALSE), "Merchant Not Fount")</f>
        <v>East</v>
      </c>
      <c r="L387" s="2">
        <f>HLOOKUP(F387,HLOOKUP_Reference!$A$1:$E$2,2,FALSE)</f>
        <v>1.4999999999999999E-2</v>
      </c>
      <c r="M387">
        <f>SUMIFS(Daily_Merchant_Pivot!$E:$E,Daily_Merchant_Pivot!$A:$A,C387,Daily_Merchant_Pivot!$D:$D,INT(D387))</f>
        <v>49</v>
      </c>
      <c r="N387" t="str">
        <f t="shared" ref="N387:N450" si="12">IF(AND(M387&gt;5000,K387&lt;&gt;"East"),"High-Value Merchant Day","Normal Merchant Day")</f>
        <v>Normal Merchant Day</v>
      </c>
      <c r="O387" s="7">
        <f t="shared" ref="O387:O450" si="13">INT(D387)</f>
        <v>46040</v>
      </c>
    </row>
    <row r="388" spans="1:15" x14ac:dyDescent="0.3">
      <c r="A388" t="s">
        <v>401</v>
      </c>
      <c r="B388">
        <v>148</v>
      </c>
      <c r="C388">
        <v>21</v>
      </c>
      <c r="D388" s="1">
        <v>46043.283333333333</v>
      </c>
      <c r="E388">
        <v>49</v>
      </c>
      <c r="F388" t="s">
        <v>24</v>
      </c>
      <c r="G388" t="s">
        <v>10</v>
      </c>
      <c r="H388">
        <v>36</v>
      </c>
      <c r="I388" t="str">
        <f>IFERROR(VLOOKUP(C388,Merchants!$A$2:$D$41,2,FALSE),"Merchant not found")</f>
        <v>Merchant_021</v>
      </c>
      <c r="J388" t="str">
        <f>IFERROR(VLOOKUP(C388,Merchants!$A$2:$D$41,3,FALSE),"Merchant not found")</f>
        <v>food_delivery</v>
      </c>
      <c r="K388" t="str">
        <f>IFERROR(VLOOKUP(C388,Merchants!$A$2:$D$41,4,FALSE), "Merchant Not Fount")</f>
        <v>East</v>
      </c>
      <c r="L388" s="2">
        <f>HLOOKUP(F388,HLOOKUP_Reference!$A$1:$E$2,2,FALSE)</f>
        <v>1.4999999999999999E-2</v>
      </c>
      <c r="M388">
        <f>SUMIFS(Daily_Merchant_Pivot!$E:$E,Daily_Merchant_Pivot!$A:$A,C388,Daily_Merchant_Pivot!$D:$D,INT(D388))</f>
        <v>49</v>
      </c>
      <c r="N388" t="str">
        <f t="shared" si="12"/>
        <v>Normal Merchant Day</v>
      </c>
      <c r="O388" s="7">
        <f t="shared" si="13"/>
        <v>46043</v>
      </c>
    </row>
    <row r="389" spans="1:15" x14ac:dyDescent="0.3">
      <c r="A389" t="s">
        <v>402</v>
      </c>
      <c r="B389">
        <v>46</v>
      </c>
      <c r="C389">
        <v>37</v>
      </c>
      <c r="D389" s="1">
        <v>46043.081944444442</v>
      </c>
      <c r="E389">
        <v>99</v>
      </c>
      <c r="F389" t="s">
        <v>9</v>
      </c>
      <c r="G389" t="s">
        <v>10</v>
      </c>
      <c r="H389">
        <v>29</v>
      </c>
      <c r="I389" t="str">
        <f>IFERROR(VLOOKUP(C389,Merchants!$A$2:$D$41,2,FALSE),"Merchant not found")</f>
        <v>Merchant_037</v>
      </c>
      <c r="J389" t="str">
        <f>IFERROR(VLOOKUP(C389,Merchants!$A$2:$D$41,3,FALSE),"Merchant not found")</f>
        <v>entertainment</v>
      </c>
      <c r="K389" t="str">
        <f>IFERROR(VLOOKUP(C389,Merchants!$A$2:$D$41,4,FALSE), "Merchant Not Fount")</f>
        <v>South</v>
      </c>
      <c r="L389" s="2">
        <f>HLOOKUP(F389,HLOOKUP_Reference!$A$1:$E$2,2,FALSE)</f>
        <v>6.4999999999999997E-3</v>
      </c>
      <c r="M389">
        <f>SUMIFS(Daily_Merchant_Pivot!$E:$E,Daily_Merchant_Pivot!$A:$A,C389,Daily_Merchant_Pivot!$D:$D,INT(D389))</f>
        <v>99</v>
      </c>
      <c r="N389" t="str">
        <f t="shared" si="12"/>
        <v>Normal Merchant Day</v>
      </c>
      <c r="O389" s="7">
        <f t="shared" si="13"/>
        <v>46043</v>
      </c>
    </row>
    <row r="390" spans="1:15" x14ac:dyDescent="0.3">
      <c r="A390" t="s">
        <v>403</v>
      </c>
      <c r="B390">
        <v>20</v>
      </c>
      <c r="C390">
        <v>12</v>
      </c>
      <c r="D390" s="1">
        <v>46040.990277777775</v>
      </c>
      <c r="E390">
        <v>799</v>
      </c>
      <c r="F390" t="s">
        <v>24</v>
      </c>
      <c r="G390" t="s">
        <v>10</v>
      </c>
      <c r="H390">
        <v>53</v>
      </c>
      <c r="I390" t="str">
        <f>IFERROR(VLOOKUP(C390,Merchants!$A$2:$D$41,2,FALSE),"Merchant not found")</f>
        <v>Merchant_012</v>
      </c>
      <c r="J390" t="str">
        <f>IFERROR(VLOOKUP(C390,Merchants!$A$2:$D$41,3,FALSE),"Merchant not found")</f>
        <v>ecommerce</v>
      </c>
      <c r="K390" t="str">
        <f>IFERROR(VLOOKUP(C390,Merchants!$A$2:$D$41,4,FALSE), "Merchant Not Fount")</f>
        <v>East</v>
      </c>
      <c r="L390" s="2">
        <f>HLOOKUP(F390,HLOOKUP_Reference!$A$1:$E$2,2,FALSE)</f>
        <v>1.4999999999999999E-2</v>
      </c>
      <c r="M390">
        <f>SUMIFS(Daily_Merchant_Pivot!$E:$E,Daily_Merchant_Pivot!$A:$A,C390,Daily_Merchant_Pivot!$D:$D,INT(D390))</f>
        <v>799</v>
      </c>
      <c r="N390" t="str">
        <f t="shared" si="12"/>
        <v>Normal Merchant Day</v>
      </c>
      <c r="O390" s="7">
        <f t="shared" si="13"/>
        <v>46040</v>
      </c>
    </row>
    <row r="391" spans="1:15" x14ac:dyDescent="0.3">
      <c r="A391" t="s">
        <v>404</v>
      </c>
      <c r="B391">
        <v>19</v>
      </c>
      <c r="C391">
        <v>26</v>
      </c>
      <c r="D391" s="1">
        <v>46051.249305555553</v>
      </c>
      <c r="E391">
        <v>49</v>
      </c>
      <c r="F391" t="s">
        <v>12</v>
      </c>
      <c r="G391" t="s">
        <v>10</v>
      </c>
      <c r="H391">
        <v>100</v>
      </c>
      <c r="I391" t="str">
        <f>IFERROR(VLOOKUP(C391,Merchants!$A$2:$D$41,2,FALSE),"Merchant not found")</f>
        <v>Merchant_026</v>
      </c>
      <c r="J391" t="str">
        <f>IFERROR(VLOOKUP(C391,Merchants!$A$2:$D$41,3,FALSE),"Merchant not found")</f>
        <v>food_delivery</v>
      </c>
      <c r="K391" t="str">
        <f>IFERROR(VLOOKUP(C391,Merchants!$A$2:$D$41,4,FALSE), "Merchant Not Fount")</f>
        <v>East</v>
      </c>
      <c r="L391" s="2">
        <f>HLOOKUP(F391,HLOOKUP_Reference!$A$1:$E$2,2,FALSE)</f>
        <v>2E-3</v>
      </c>
      <c r="M391">
        <f>SUMIFS(Daily_Merchant_Pivot!$E:$E,Daily_Merchant_Pivot!$A:$A,C391,Daily_Merchant_Pivot!$D:$D,INT(D391))</f>
        <v>148</v>
      </c>
      <c r="N391" t="str">
        <f t="shared" si="12"/>
        <v>Normal Merchant Day</v>
      </c>
      <c r="O391" s="7">
        <f t="shared" si="13"/>
        <v>46051</v>
      </c>
    </row>
    <row r="392" spans="1:15" x14ac:dyDescent="0.3">
      <c r="A392" t="s">
        <v>405</v>
      </c>
      <c r="B392">
        <v>149</v>
      </c>
      <c r="C392">
        <v>3</v>
      </c>
      <c r="D392" s="1">
        <v>46038.249305555553</v>
      </c>
      <c r="E392">
        <v>4999</v>
      </c>
      <c r="F392" t="s">
        <v>9</v>
      </c>
      <c r="G392" t="s">
        <v>10</v>
      </c>
      <c r="H392">
        <v>1</v>
      </c>
      <c r="I392" t="str">
        <f>IFERROR(VLOOKUP(C392,Merchants!$A$2:$D$41,2,FALSE),"Merchant not found")</f>
        <v>Merchant_003</v>
      </c>
      <c r="J392" t="str">
        <f>IFERROR(VLOOKUP(C392,Merchants!$A$2:$D$41,3,FALSE),"Merchant not found")</f>
        <v>grocery</v>
      </c>
      <c r="K392" t="str">
        <f>IFERROR(VLOOKUP(C392,Merchants!$A$2:$D$41,4,FALSE), "Merchant Not Fount")</f>
        <v>East</v>
      </c>
      <c r="L392" s="2">
        <f>HLOOKUP(F392,HLOOKUP_Reference!$A$1:$E$2,2,FALSE)</f>
        <v>6.4999999999999997E-3</v>
      </c>
      <c r="M392">
        <f>SUMIFS(Daily_Merchant_Pivot!$E:$E,Daily_Merchant_Pivot!$A:$A,C392,Daily_Merchant_Pivot!$D:$D,INT(D392))</f>
        <v>4999</v>
      </c>
      <c r="N392" t="str">
        <f t="shared" si="12"/>
        <v>Normal Merchant Day</v>
      </c>
      <c r="O392" s="7">
        <f t="shared" si="13"/>
        <v>46038</v>
      </c>
    </row>
    <row r="393" spans="1:15" x14ac:dyDescent="0.3">
      <c r="A393" t="s">
        <v>406</v>
      </c>
      <c r="B393">
        <v>55</v>
      </c>
      <c r="C393">
        <v>22</v>
      </c>
      <c r="D393" s="1">
        <v>46032.776388888888</v>
      </c>
      <c r="E393">
        <v>499</v>
      </c>
      <c r="F393" t="s">
        <v>12</v>
      </c>
      <c r="G393" t="s">
        <v>10</v>
      </c>
      <c r="H393">
        <v>36</v>
      </c>
      <c r="I393" t="str">
        <f>IFERROR(VLOOKUP(C393,Merchants!$A$2:$D$41,2,FALSE),"Merchant not found")</f>
        <v>Merchant_022</v>
      </c>
      <c r="J393" t="str">
        <f>IFERROR(VLOOKUP(C393,Merchants!$A$2:$D$41,3,FALSE),"Merchant not found")</f>
        <v>travel</v>
      </c>
      <c r="K393" t="str">
        <f>IFERROR(VLOOKUP(C393,Merchants!$A$2:$D$41,4,FALSE), "Merchant Not Fount")</f>
        <v>South</v>
      </c>
      <c r="L393" s="2">
        <f>HLOOKUP(F393,HLOOKUP_Reference!$A$1:$E$2,2,FALSE)</f>
        <v>2E-3</v>
      </c>
      <c r="M393">
        <f>SUMIFS(Daily_Merchant_Pivot!$E:$E,Daily_Merchant_Pivot!$A:$A,C393,Daily_Merchant_Pivot!$D:$D,INT(D393))</f>
        <v>499</v>
      </c>
      <c r="N393" t="str">
        <f t="shared" si="12"/>
        <v>Normal Merchant Day</v>
      </c>
      <c r="O393" s="7">
        <f t="shared" si="13"/>
        <v>46032</v>
      </c>
    </row>
    <row r="394" spans="1:15" x14ac:dyDescent="0.3">
      <c r="A394" t="s">
        <v>407</v>
      </c>
      <c r="B394">
        <v>269</v>
      </c>
      <c r="C394">
        <v>32</v>
      </c>
      <c r="D394" s="1">
        <v>46037.856944444444</v>
      </c>
      <c r="E394">
        <v>49</v>
      </c>
      <c r="F394" t="s">
        <v>24</v>
      </c>
      <c r="G394" t="s">
        <v>10</v>
      </c>
      <c r="H394">
        <v>17</v>
      </c>
      <c r="I394" t="str">
        <f>IFERROR(VLOOKUP(C394,Merchants!$A$2:$D$41,2,FALSE),"Merchant not found")</f>
        <v>Merchant_032</v>
      </c>
      <c r="J394" t="str">
        <f>IFERROR(VLOOKUP(C394,Merchants!$A$2:$D$41,3,FALSE),"Merchant not found")</f>
        <v>food_delivery</v>
      </c>
      <c r="K394" t="str">
        <f>IFERROR(VLOOKUP(C394,Merchants!$A$2:$D$41,4,FALSE), "Merchant Not Fount")</f>
        <v>West</v>
      </c>
      <c r="L394" s="2">
        <f>HLOOKUP(F394,HLOOKUP_Reference!$A$1:$E$2,2,FALSE)</f>
        <v>1.4999999999999999E-2</v>
      </c>
      <c r="M394">
        <f>SUMIFS(Daily_Merchant_Pivot!$E:$E,Daily_Merchant_Pivot!$A:$A,C394,Daily_Merchant_Pivot!$D:$D,INT(D394))</f>
        <v>148</v>
      </c>
      <c r="N394" t="str">
        <f t="shared" si="12"/>
        <v>Normal Merchant Day</v>
      </c>
      <c r="O394" s="7">
        <f t="shared" si="13"/>
        <v>46037</v>
      </c>
    </row>
    <row r="395" spans="1:15" x14ac:dyDescent="0.3">
      <c r="A395" t="s">
        <v>408</v>
      </c>
      <c r="B395">
        <v>140</v>
      </c>
      <c r="C395">
        <v>13</v>
      </c>
      <c r="D395" s="1">
        <v>46050.686805555553</v>
      </c>
      <c r="E395">
        <v>2999</v>
      </c>
      <c r="F395" t="s">
        <v>12</v>
      </c>
      <c r="G395" t="s">
        <v>10</v>
      </c>
      <c r="H395">
        <v>14</v>
      </c>
      <c r="I395" t="str">
        <f>IFERROR(VLOOKUP(C395,Merchants!$A$2:$D$41,2,FALSE),"Merchant not found")</f>
        <v>Merchant_013</v>
      </c>
      <c r="J395" t="str">
        <f>IFERROR(VLOOKUP(C395,Merchants!$A$2:$D$41,3,FALSE),"Merchant not found")</f>
        <v>travel</v>
      </c>
      <c r="K395" t="str">
        <f>IFERROR(VLOOKUP(C395,Merchants!$A$2:$D$41,4,FALSE), "Merchant Not Fount")</f>
        <v>East</v>
      </c>
      <c r="L395" s="2">
        <f>HLOOKUP(F395,HLOOKUP_Reference!$A$1:$E$2,2,FALSE)</f>
        <v>2E-3</v>
      </c>
      <c r="M395">
        <f>SUMIFS(Daily_Merchant_Pivot!$E:$E,Daily_Merchant_Pivot!$A:$A,C395,Daily_Merchant_Pivot!$D:$D,INT(D395))</f>
        <v>2999</v>
      </c>
      <c r="N395" t="str">
        <f t="shared" si="12"/>
        <v>Normal Merchant Day</v>
      </c>
      <c r="O395" s="7">
        <f t="shared" si="13"/>
        <v>46050</v>
      </c>
    </row>
    <row r="396" spans="1:15" x14ac:dyDescent="0.3">
      <c r="A396" t="s">
        <v>409</v>
      </c>
      <c r="B396">
        <v>235</v>
      </c>
      <c r="C396">
        <v>17</v>
      </c>
      <c r="D396" s="1">
        <v>46033.240277777775</v>
      </c>
      <c r="E396">
        <v>2999</v>
      </c>
      <c r="F396" t="s">
        <v>12</v>
      </c>
      <c r="G396" t="s">
        <v>10</v>
      </c>
      <c r="H396">
        <v>91</v>
      </c>
      <c r="I396" t="str">
        <f>IFERROR(VLOOKUP(C396,Merchants!$A$2:$D$41,2,FALSE),"Merchant not found")</f>
        <v>Merchant_017</v>
      </c>
      <c r="J396" t="str">
        <f>IFERROR(VLOOKUP(C396,Merchants!$A$2:$D$41,3,FALSE),"Merchant not found")</f>
        <v>grocery</v>
      </c>
      <c r="K396" t="str">
        <f>IFERROR(VLOOKUP(C396,Merchants!$A$2:$D$41,4,FALSE), "Merchant Not Fount")</f>
        <v>North</v>
      </c>
      <c r="L396" s="2">
        <f>HLOOKUP(F396,HLOOKUP_Reference!$A$1:$E$2,2,FALSE)</f>
        <v>2E-3</v>
      </c>
      <c r="M396">
        <f>SUMIFS(Daily_Merchant_Pivot!$E:$E,Daily_Merchant_Pivot!$A:$A,C396,Daily_Merchant_Pivot!$D:$D,INT(D396))</f>
        <v>7998</v>
      </c>
      <c r="N396" t="str">
        <f t="shared" si="12"/>
        <v>High-Value Merchant Day</v>
      </c>
      <c r="O396" s="7">
        <f t="shared" si="13"/>
        <v>46033</v>
      </c>
    </row>
    <row r="397" spans="1:15" x14ac:dyDescent="0.3">
      <c r="A397" t="s">
        <v>410</v>
      </c>
      <c r="B397">
        <v>173</v>
      </c>
      <c r="C397">
        <v>19</v>
      </c>
      <c r="D397" s="1">
        <v>46028.032638888886</v>
      </c>
      <c r="E397">
        <v>499</v>
      </c>
      <c r="F397" t="s">
        <v>12</v>
      </c>
      <c r="G397" t="s">
        <v>25</v>
      </c>
      <c r="H397">
        <v>72</v>
      </c>
      <c r="I397" t="str">
        <f>IFERROR(VLOOKUP(C397,Merchants!$A$2:$D$41,2,FALSE),"Merchant not found")</f>
        <v>Merchant_019</v>
      </c>
      <c r="J397" t="str">
        <f>IFERROR(VLOOKUP(C397,Merchants!$A$2:$D$41,3,FALSE),"Merchant not found")</f>
        <v>grocery</v>
      </c>
      <c r="K397" t="str">
        <f>IFERROR(VLOOKUP(C397,Merchants!$A$2:$D$41,4,FALSE), "Merchant Not Fount")</f>
        <v>North</v>
      </c>
      <c r="L397" s="2">
        <f>HLOOKUP(F397,HLOOKUP_Reference!$A$1:$E$2,2,FALSE)</f>
        <v>2E-3</v>
      </c>
      <c r="M397">
        <f>SUMIFS(Daily_Merchant_Pivot!$E:$E,Daily_Merchant_Pivot!$A:$A,C397,Daily_Merchant_Pivot!$D:$D,INT(D397))</f>
        <v>499</v>
      </c>
      <c r="N397" t="str">
        <f t="shared" si="12"/>
        <v>Normal Merchant Day</v>
      </c>
      <c r="O397" s="7">
        <f t="shared" si="13"/>
        <v>46028</v>
      </c>
    </row>
    <row r="398" spans="1:15" x14ac:dyDescent="0.3">
      <c r="A398" t="s">
        <v>411</v>
      </c>
      <c r="B398">
        <v>313</v>
      </c>
      <c r="C398">
        <v>26</v>
      </c>
      <c r="D398" s="1">
        <v>46044.257638888892</v>
      </c>
      <c r="E398">
        <v>499</v>
      </c>
      <c r="F398" t="s">
        <v>12</v>
      </c>
      <c r="G398" t="s">
        <v>10</v>
      </c>
      <c r="H398">
        <v>54</v>
      </c>
      <c r="I398" t="str">
        <f>IFERROR(VLOOKUP(C398,Merchants!$A$2:$D$41,2,FALSE),"Merchant not found")</f>
        <v>Merchant_026</v>
      </c>
      <c r="J398" t="str">
        <f>IFERROR(VLOOKUP(C398,Merchants!$A$2:$D$41,3,FALSE),"Merchant not found")</f>
        <v>food_delivery</v>
      </c>
      <c r="K398" t="str">
        <f>IFERROR(VLOOKUP(C398,Merchants!$A$2:$D$41,4,FALSE), "Merchant Not Fount")</f>
        <v>East</v>
      </c>
      <c r="L398" s="2">
        <f>HLOOKUP(F398,HLOOKUP_Reference!$A$1:$E$2,2,FALSE)</f>
        <v>2E-3</v>
      </c>
      <c r="M398">
        <f>SUMIFS(Daily_Merchant_Pivot!$E:$E,Daily_Merchant_Pivot!$A:$A,C398,Daily_Merchant_Pivot!$D:$D,INT(D398))</f>
        <v>499</v>
      </c>
      <c r="N398" t="str">
        <f t="shared" si="12"/>
        <v>Normal Merchant Day</v>
      </c>
      <c r="O398" s="7">
        <f t="shared" si="13"/>
        <v>46044</v>
      </c>
    </row>
    <row r="399" spans="1:15" x14ac:dyDescent="0.3">
      <c r="A399" t="s">
        <v>412</v>
      </c>
      <c r="B399">
        <v>206</v>
      </c>
      <c r="C399">
        <v>7</v>
      </c>
      <c r="D399" s="1">
        <v>46039.420138888891</v>
      </c>
      <c r="E399">
        <v>149</v>
      </c>
      <c r="F399" t="s">
        <v>9</v>
      </c>
      <c r="G399" t="s">
        <v>10</v>
      </c>
      <c r="H399">
        <v>23</v>
      </c>
      <c r="I399" t="str">
        <f>IFERROR(VLOOKUP(C399,Merchants!$A$2:$D$41,2,FALSE),"Merchant not found")</f>
        <v>Merchant_007</v>
      </c>
      <c r="J399" t="str">
        <f>IFERROR(VLOOKUP(C399,Merchants!$A$2:$D$41,3,FALSE),"Merchant not found")</f>
        <v>food_delivery</v>
      </c>
      <c r="K399" t="str">
        <f>IFERROR(VLOOKUP(C399,Merchants!$A$2:$D$41,4,FALSE), "Merchant Not Fount")</f>
        <v>East</v>
      </c>
      <c r="L399" s="2">
        <f>HLOOKUP(F399,HLOOKUP_Reference!$A$1:$E$2,2,FALSE)</f>
        <v>6.4999999999999997E-3</v>
      </c>
      <c r="M399">
        <f>SUMIFS(Daily_Merchant_Pivot!$E:$E,Daily_Merchant_Pivot!$A:$A,C399,Daily_Merchant_Pivot!$D:$D,INT(D399))</f>
        <v>149</v>
      </c>
      <c r="N399" t="str">
        <f t="shared" si="12"/>
        <v>Normal Merchant Day</v>
      </c>
      <c r="O399" s="7">
        <f t="shared" si="13"/>
        <v>46039</v>
      </c>
    </row>
    <row r="400" spans="1:15" x14ac:dyDescent="0.3">
      <c r="A400" t="s">
        <v>413</v>
      </c>
      <c r="B400">
        <v>128</v>
      </c>
      <c r="C400">
        <v>1</v>
      </c>
      <c r="D400" s="1">
        <v>46027.638888888891</v>
      </c>
      <c r="E400">
        <v>1499</v>
      </c>
      <c r="F400" t="s">
        <v>15</v>
      </c>
      <c r="G400" t="s">
        <v>10</v>
      </c>
      <c r="H400">
        <v>33</v>
      </c>
      <c r="I400" t="str">
        <f>IFERROR(VLOOKUP(C400,Merchants!$A$2:$D$41,2,FALSE),"Merchant not found")</f>
        <v>Merchant_001</v>
      </c>
      <c r="J400" t="str">
        <f>IFERROR(VLOOKUP(C400,Merchants!$A$2:$D$41,3,FALSE),"Merchant not found")</f>
        <v>ecommerce</v>
      </c>
      <c r="K400" t="str">
        <f>IFERROR(VLOOKUP(C400,Merchants!$A$2:$D$41,4,FALSE), "Merchant Not Fount")</f>
        <v>South</v>
      </c>
      <c r="L400" s="2">
        <f>HLOOKUP(F400,HLOOKUP_Reference!$A$1:$E$2,2,FALSE)</f>
        <v>0.01</v>
      </c>
      <c r="M400">
        <f>SUMIFS(Daily_Merchant_Pivot!$E:$E,Daily_Merchant_Pivot!$A:$A,C400,Daily_Merchant_Pivot!$D:$D,INT(D400))</f>
        <v>1499</v>
      </c>
      <c r="N400" t="str">
        <f t="shared" si="12"/>
        <v>Normal Merchant Day</v>
      </c>
      <c r="O400" s="7">
        <f t="shared" si="13"/>
        <v>46027</v>
      </c>
    </row>
    <row r="401" spans="1:15" x14ac:dyDescent="0.3">
      <c r="A401" t="s">
        <v>414</v>
      </c>
      <c r="B401">
        <v>137</v>
      </c>
      <c r="C401">
        <v>22</v>
      </c>
      <c r="D401" s="1">
        <v>46035.311111111114</v>
      </c>
      <c r="E401">
        <v>799</v>
      </c>
      <c r="F401" t="s">
        <v>12</v>
      </c>
      <c r="G401" t="s">
        <v>25</v>
      </c>
      <c r="H401">
        <v>38</v>
      </c>
      <c r="I401" t="str">
        <f>IFERROR(VLOOKUP(C401,Merchants!$A$2:$D$41,2,FALSE),"Merchant not found")</f>
        <v>Merchant_022</v>
      </c>
      <c r="J401" t="str">
        <f>IFERROR(VLOOKUP(C401,Merchants!$A$2:$D$41,3,FALSE),"Merchant not found")</f>
        <v>travel</v>
      </c>
      <c r="K401" t="str">
        <f>IFERROR(VLOOKUP(C401,Merchants!$A$2:$D$41,4,FALSE), "Merchant Not Fount")</f>
        <v>South</v>
      </c>
      <c r="L401" s="2">
        <f>HLOOKUP(F401,HLOOKUP_Reference!$A$1:$E$2,2,FALSE)</f>
        <v>2E-3</v>
      </c>
      <c r="M401">
        <f>SUMIFS(Daily_Merchant_Pivot!$E:$E,Daily_Merchant_Pivot!$A:$A,C401,Daily_Merchant_Pivot!$D:$D,INT(D401))</f>
        <v>5798</v>
      </c>
      <c r="N401" t="str">
        <f t="shared" si="12"/>
        <v>High-Value Merchant Day</v>
      </c>
      <c r="O401" s="7">
        <f t="shared" si="13"/>
        <v>46035</v>
      </c>
    </row>
    <row r="402" spans="1:15" x14ac:dyDescent="0.3">
      <c r="A402" t="s">
        <v>415</v>
      </c>
      <c r="B402">
        <v>6</v>
      </c>
      <c r="C402">
        <v>17</v>
      </c>
      <c r="D402" s="1">
        <v>46041.98333333333</v>
      </c>
      <c r="E402">
        <v>49</v>
      </c>
      <c r="F402" t="s">
        <v>12</v>
      </c>
      <c r="G402" t="s">
        <v>10</v>
      </c>
      <c r="H402">
        <v>83</v>
      </c>
      <c r="I402" t="str">
        <f>IFERROR(VLOOKUP(C402,Merchants!$A$2:$D$41,2,FALSE),"Merchant not found")</f>
        <v>Merchant_017</v>
      </c>
      <c r="J402" t="str">
        <f>IFERROR(VLOOKUP(C402,Merchants!$A$2:$D$41,3,FALSE),"Merchant not found")</f>
        <v>grocery</v>
      </c>
      <c r="K402" t="str">
        <f>IFERROR(VLOOKUP(C402,Merchants!$A$2:$D$41,4,FALSE), "Merchant Not Fount")</f>
        <v>North</v>
      </c>
      <c r="L402" s="2">
        <f>HLOOKUP(F402,HLOOKUP_Reference!$A$1:$E$2,2,FALSE)</f>
        <v>2E-3</v>
      </c>
      <c r="M402">
        <f>SUMIFS(Daily_Merchant_Pivot!$E:$E,Daily_Merchant_Pivot!$A:$A,C402,Daily_Merchant_Pivot!$D:$D,INT(D402))</f>
        <v>49</v>
      </c>
      <c r="N402" t="str">
        <f t="shared" si="12"/>
        <v>Normal Merchant Day</v>
      </c>
      <c r="O402" s="7">
        <f t="shared" si="13"/>
        <v>46041</v>
      </c>
    </row>
    <row r="403" spans="1:15" x14ac:dyDescent="0.3">
      <c r="A403" t="s">
        <v>416</v>
      </c>
      <c r="B403">
        <v>32</v>
      </c>
      <c r="C403">
        <v>8</v>
      </c>
      <c r="D403" s="1">
        <v>46034.927083333336</v>
      </c>
      <c r="E403">
        <v>299</v>
      </c>
      <c r="F403" t="s">
        <v>24</v>
      </c>
      <c r="G403" t="s">
        <v>10</v>
      </c>
      <c r="H403">
        <v>59</v>
      </c>
      <c r="I403" t="str">
        <f>IFERROR(VLOOKUP(C403,Merchants!$A$2:$D$41,2,FALSE),"Merchant not found")</f>
        <v>Merchant_008</v>
      </c>
      <c r="J403" t="str">
        <f>IFERROR(VLOOKUP(C403,Merchants!$A$2:$D$41,3,FALSE),"Merchant not found")</f>
        <v>food_delivery</v>
      </c>
      <c r="K403" t="str">
        <f>IFERROR(VLOOKUP(C403,Merchants!$A$2:$D$41,4,FALSE), "Merchant Not Fount")</f>
        <v>North</v>
      </c>
      <c r="L403" s="2">
        <f>HLOOKUP(F403,HLOOKUP_Reference!$A$1:$E$2,2,FALSE)</f>
        <v>1.4999999999999999E-2</v>
      </c>
      <c r="M403">
        <f>SUMIFS(Daily_Merchant_Pivot!$E:$E,Daily_Merchant_Pivot!$A:$A,C403,Daily_Merchant_Pivot!$D:$D,INT(D403))</f>
        <v>398</v>
      </c>
      <c r="N403" t="str">
        <f t="shared" si="12"/>
        <v>Normal Merchant Day</v>
      </c>
      <c r="O403" s="7">
        <f t="shared" si="13"/>
        <v>46034</v>
      </c>
    </row>
    <row r="404" spans="1:15" x14ac:dyDescent="0.3">
      <c r="A404" t="s">
        <v>417</v>
      </c>
      <c r="B404">
        <v>258</v>
      </c>
      <c r="C404">
        <v>20</v>
      </c>
      <c r="D404" s="1">
        <v>46032.225694444445</v>
      </c>
      <c r="E404">
        <v>149</v>
      </c>
      <c r="F404" t="s">
        <v>12</v>
      </c>
      <c r="G404" t="s">
        <v>10</v>
      </c>
      <c r="H404">
        <v>88</v>
      </c>
      <c r="I404" t="str">
        <f>IFERROR(VLOOKUP(C404,Merchants!$A$2:$D$41,2,FALSE),"Merchant not found")</f>
        <v>Merchant_020</v>
      </c>
      <c r="J404" t="str">
        <f>IFERROR(VLOOKUP(C404,Merchants!$A$2:$D$41,3,FALSE),"Merchant not found")</f>
        <v>food_delivery</v>
      </c>
      <c r="K404" t="str">
        <f>IFERROR(VLOOKUP(C404,Merchants!$A$2:$D$41,4,FALSE), "Merchant Not Fount")</f>
        <v>East</v>
      </c>
      <c r="L404" s="2">
        <f>HLOOKUP(F404,HLOOKUP_Reference!$A$1:$E$2,2,FALSE)</f>
        <v>2E-3</v>
      </c>
      <c r="M404">
        <f>SUMIFS(Daily_Merchant_Pivot!$E:$E,Daily_Merchant_Pivot!$A:$A,C404,Daily_Merchant_Pivot!$D:$D,INT(D404))</f>
        <v>149</v>
      </c>
      <c r="N404" t="str">
        <f t="shared" si="12"/>
        <v>Normal Merchant Day</v>
      </c>
      <c r="O404" s="7">
        <f t="shared" si="13"/>
        <v>46032</v>
      </c>
    </row>
    <row r="405" spans="1:15" x14ac:dyDescent="0.3">
      <c r="A405" t="s">
        <v>418</v>
      </c>
      <c r="B405">
        <v>152</v>
      </c>
      <c r="C405">
        <v>24</v>
      </c>
      <c r="D405" s="1">
        <v>46026.873611111114</v>
      </c>
      <c r="E405">
        <v>149</v>
      </c>
      <c r="F405" t="s">
        <v>12</v>
      </c>
      <c r="G405" t="s">
        <v>38</v>
      </c>
      <c r="H405">
        <v>78</v>
      </c>
      <c r="I405" t="str">
        <f>IFERROR(VLOOKUP(C405,Merchants!$A$2:$D$41,2,FALSE),"Merchant not found")</f>
        <v>Merchant_024</v>
      </c>
      <c r="J405" t="str">
        <f>IFERROR(VLOOKUP(C405,Merchants!$A$2:$D$41,3,FALSE),"Merchant not found")</f>
        <v>grocery</v>
      </c>
      <c r="K405" t="str">
        <f>IFERROR(VLOOKUP(C405,Merchants!$A$2:$D$41,4,FALSE), "Merchant Not Fount")</f>
        <v>North</v>
      </c>
      <c r="L405" s="2">
        <f>HLOOKUP(F405,HLOOKUP_Reference!$A$1:$E$2,2,FALSE)</f>
        <v>2E-3</v>
      </c>
      <c r="M405">
        <f>SUMIFS(Daily_Merchant_Pivot!$E:$E,Daily_Merchant_Pivot!$A:$A,C405,Daily_Merchant_Pivot!$D:$D,INT(D405))</f>
        <v>149</v>
      </c>
      <c r="N405" t="str">
        <f t="shared" si="12"/>
        <v>Normal Merchant Day</v>
      </c>
      <c r="O405" s="7">
        <f t="shared" si="13"/>
        <v>46026</v>
      </c>
    </row>
    <row r="406" spans="1:15" x14ac:dyDescent="0.3">
      <c r="A406" t="s">
        <v>419</v>
      </c>
      <c r="B406">
        <v>245</v>
      </c>
      <c r="C406">
        <v>10</v>
      </c>
      <c r="D406" s="1">
        <v>46030.297222222223</v>
      </c>
      <c r="E406">
        <v>799</v>
      </c>
      <c r="F406" t="s">
        <v>9</v>
      </c>
      <c r="G406" t="s">
        <v>10</v>
      </c>
      <c r="H406">
        <v>58</v>
      </c>
      <c r="I406" t="str">
        <f>IFERROR(VLOOKUP(C406,Merchants!$A$2:$D$41,2,FALSE),"Merchant not found")</f>
        <v>Merchant_010</v>
      </c>
      <c r="J406" t="str">
        <f>IFERROR(VLOOKUP(C406,Merchants!$A$2:$D$41,3,FALSE),"Merchant not found")</f>
        <v>grocery</v>
      </c>
      <c r="K406" t="str">
        <f>IFERROR(VLOOKUP(C406,Merchants!$A$2:$D$41,4,FALSE), "Merchant Not Fount")</f>
        <v>West</v>
      </c>
      <c r="L406" s="2">
        <f>HLOOKUP(F406,HLOOKUP_Reference!$A$1:$E$2,2,FALSE)</f>
        <v>6.4999999999999997E-3</v>
      </c>
      <c r="M406">
        <f>SUMIFS(Daily_Merchant_Pivot!$E:$E,Daily_Merchant_Pivot!$A:$A,C406,Daily_Merchant_Pivot!$D:$D,INT(D406))</f>
        <v>799</v>
      </c>
      <c r="N406" t="str">
        <f t="shared" si="12"/>
        <v>Normal Merchant Day</v>
      </c>
      <c r="O406" s="7">
        <f t="shared" si="13"/>
        <v>46030</v>
      </c>
    </row>
    <row r="407" spans="1:15" x14ac:dyDescent="0.3">
      <c r="A407" t="s">
        <v>420</v>
      </c>
      <c r="B407">
        <v>213</v>
      </c>
      <c r="C407">
        <v>36</v>
      </c>
      <c r="D407" s="1">
        <v>46046.807638888888</v>
      </c>
      <c r="E407">
        <v>49</v>
      </c>
      <c r="F407" t="s">
        <v>9</v>
      </c>
      <c r="G407" t="s">
        <v>10</v>
      </c>
      <c r="H407">
        <v>60</v>
      </c>
      <c r="I407" t="str">
        <f>IFERROR(VLOOKUP(C407,Merchants!$A$2:$D$41,2,FALSE),"Merchant not found")</f>
        <v>Merchant_036</v>
      </c>
      <c r="J407" t="str">
        <f>IFERROR(VLOOKUP(C407,Merchants!$A$2:$D$41,3,FALSE),"Merchant not found")</f>
        <v>entertainment</v>
      </c>
      <c r="K407" t="str">
        <f>IFERROR(VLOOKUP(C407,Merchants!$A$2:$D$41,4,FALSE), "Merchant Not Fount")</f>
        <v>East</v>
      </c>
      <c r="L407" s="2">
        <f>HLOOKUP(F407,HLOOKUP_Reference!$A$1:$E$2,2,FALSE)</f>
        <v>6.4999999999999997E-3</v>
      </c>
      <c r="M407">
        <f>SUMIFS(Daily_Merchant_Pivot!$E:$E,Daily_Merchant_Pivot!$A:$A,C407,Daily_Merchant_Pivot!$D:$D,INT(D407))</f>
        <v>1647</v>
      </c>
      <c r="N407" t="str">
        <f t="shared" si="12"/>
        <v>Normal Merchant Day</v>
      </c>
      <c r="O407" s="7">
        <f t="shared" si="13"/>
        <v>46046</v>
      </c>
    </row>
    <row r="408" spans="1:15" x14ac:dyDescent="0.3">
      <c r="A408" t="s">
        <v>421</v>
      </c>
      <c r="B408">
        <v>341</v>
      </c>
      <c r="C408">
        <v>14</v>
      </c>
      <c r="D408" s="1">
        <v>46047.743750000001</v>
      </c>
      <c r="E408">
        <v>99</v>
      </c>
      <c r="F408" t="s">
        <v>15</v>
      </c>
      <c r="G408" t="s">
        <v>10</v>
      </c>
      <c r="H408">
        <v>97</v>
      </c>
      <c r="I408" t="str">
        <f>IFERROR(VLOOKUP(C408,Merchants!$A$2:$D$41,2,FALSE),"Merchant not found")</f>
        <v>Merchant_014</v>
      </c>
      <c r="J408" t="str">
        <f>IFERROR(VLOOKUP(C408,Merchants!$A$2:$D$41,3,FALSE),"Merchant not found")</f>
        <v>grocery</v>
      </c>
      <c r="K408" t="str">
        <f>IFERROR(VLOOKUP(C408,Merchants!$A$2:$D$41,4,FALSE), "Merchant Not Fount")</f>
        <v>East</v>
      </c>
      <c r="L408" s="2">
        <f>HLOOKUP(F408,HLOOKUP_Reference!$A$1:$E$2,2,FALSE)</f>
        <v>0.01</v>
      </c>
      <c r="M408">
        <f>SUMIFS(Daily_Merchant_Pivot!$E:$E,Daily_Merchant_Pivot!$A:$A,C408,Daily_Merchant_Pivot!$D:$D,INT(D408))</f>
        <v>1598</v>
      </c>
      <c r="N408" t="str">
        <f t="shared" si="12"/>
        <v>Normal Merchant Day</v>
      </c>
      <c r="O408" s="7">
        <f t="shared" si="13"/>
        <v>46047</v>
      </c>
    </row>
    <row r="409" spans="1:15" x14ac:dyDescent="0.3">
      <c r="A409" t="s">
        <v>422</v>
      </c>
      <c r="B409">
        <v>306</v>
      </c>
      <c r="C409">
        <v>6</v>
      </c>
      <c r="D409" s="1">
        <v>46030.908333333333</v>
      </c>
      <c r="E409">
        <v>149</v>
      </c>
      <c r="F409" t="s">
        <v>15</v>
      </c>
      <c r="G409" t="s">
        <v>10</v>
      </c>
      <c r="H409">
        <v>67</v>
      </c>
      <c r="I409" t="str">
        <f>IFERROR(VLOOKUP(C409,Merchants!$A$2:$D$41,2,FALSE),"Merchant not found")</f>
        <v>Merchant_006</v>
      </c>
      <c r="J409" t="str">
        <f>IFERROR(VLOOKUP(C409,Merchants!$A$2:$D$41,3,FALSE),"Merchant not found")</f>
        <v>food_delivery</v>
      </c>
      <c r="K409" t="str">
        <f>IFERROR(VLOOKUP(C409,Merchants!$A$2:$D$41,4,FALSE), "Merchant Not Fount")</f>
        <v>South</v>
      </c>
      <c r="L409" s="2">
        <f>HLOOKUP(F409,HLOOKUP_Reference!$A$1:$E$2,2,FALSE)</f>
        <v>0.01</v>
      </c>
      <c r="M409">
        <f>SUMIFS(Daily_Merchant_Pivot!$E:$E,Daily_Merchant_Pivot!$A:$A,C409,Daily_Merchant_Pivot!$D:$D,INT(D409))</f>
        <v>149</v>
      </c>
      <c r="N409" t="str">
        <f t="shared" si="12"/>
        <v>Normal Merchant Day</v>
      </c>
      <c r="O409" s="7">
        <f t="shared" si="13"/>
        <v>46030</v>
      </c>
    </row>
    <row r="410" spans="1:15" x14ac:dyDescent="0.3">
      <c r="A410" t="s">
        <v>423</v>
      </c>
      <c r="B410">
        <v>186</v>
      </c>
      <c r="C410">
        <v>5</v>
      </c>
      <c r="D410" s="1">
        <v>46037.697916666664</v>
      </c>
      <c r="E410">
        <v>499</v>
      </c>
      <c r="F410" t="s">
        <v>12</v>
      </c>
      <c r="G410" t="s">
        <v>10</v>
      </c>
      <c r="H410">
        <v>72</v>
      </c>
      <c r="I410" t="str">
        <f>IFERROR(VLOOKUP(C410,Merchants!$A$2:$D$41,2,FALSE),"Merchant not found")</f>
        <v>Merchant_005</v>
      </c>
      <c r="J410" t="str">
        <f>IFERROR(VLOOKUP(C410,Merchants!$A$2:$D$41,3,FALSE),"Merchant not found")</f>
        <v>recharge</v>
      </c>
      <c r="K410" t="str">
        <f>IFERROR(VLOOKUP(C410,Merchants!$A$2:$D$41,4,FALSE), "Merchant Not Fount")</f>
        <v>South</v>
      </c>
      <c r="L410" s="2">
        <f>HLOOKUP(F410,HLOOKUP_Reference!$A$1:$E$2,2,FALSE)</f>
        <v>2E-3</v>
      </c>
      <c r="M410">
        <f>SUMIFS(Daily_Merchant_Pivot!$E:$E,Daily_Merchant_Pivot!$A:$A,C410,Daily_Merchant_Pivot!$D:$D,INT(D410))</f>
        <v>548</v>
      </c>
      <c r="N410" t="str">
        <f t="shared" si="12"/>
        <v>Normal Merchant Day</v>
      </c>
      <c r="O410" s="7">
        <f t="shared" si="13"/>
        <v>46037</v>
      </c>
    </row>
    <row r="411" spans="1:15" x14ac:dyDescent="0.3">
      <c r="A411" t="s">
        <v>424</v>
      </c>
      <c r="B411">
        <v>281</v>
      </c>
      <c r="C411">
        <v>33</v>
      </c>
      <c r="D411" s="1">
        <v>46026.078472222223</v>
      </c>
      <c r="E411">
        <v>4999</v>
      </c>
      <c r="F411" t="s">
        <v>12</v>
      </c>
      <c r="G411" t="s">
        <v>10</v>
      </c>
      <c r="H411">
        <v>25</v>
      </c>
      <c r="I411" t="str">
        <f>IFERROR(VLOOKUP(C411,Merchants!$A$2:$D$41,2,FALSE),"Merchant not found")</f>
        <v>Merchant_033</v>
      </c>
      <c r="J411" t="str">
        <f>IFERROR(VLOOKUP(C411,Merchants!$A$2:$D$41,3,FALSE),"Merchant not found")</f>
        <v>bill_payment</v>
      </c>
      <c r="K411" t="str">
        <f>IFERROR(VLOOKUP(C411,Merchants!$A$2:$D$41,4,FALSE), "Merchant Not Fount")</f>
        <v>East</v>
      </c>
      <c r="L411" s="2">
        <f>HLOOKUP(F411,HLOOKUP_Reference!$A$1:$E$2,2,FALSE)</f>
        <v>2E-3</v>
      </c>
      <c r="M411">
        <f>SUMIFS(Daily_Merchant_Pivot!$E:$E,Daily_Merchant_Pivot!$A:$A,C411,Daily_Merchant_Pivot!$D:$D,INT(D411))</f>
        <v>4999</v>
      </c>
      <c r="N411" t="str">
        <f t="shared" si="12"/>
        <v>Normal Merchant Day</v>
      </c>
      <c r="O411" s="7">
        <f t="shared" si="13"/>
        <v>46026</v>
      </c>
    </row>
    <row r="412" spans="1:15" x14ac:dyDescent="0.3">
      <c r="A412" t="s">
        <v>425</v>
      </c>
      <c r="B412">
        <v>85</v>
      </c>
      <c r="C412">
        <v>21</v>
      </c>
      <c r="D412" s="1">
        <v>46041.714583333334</v>
      </c>
      <c r="E412">
        <v>99</v>
      </c>
      <c r="F412" t="s">
        <v>12</v>
      </c>
      <c r="G412" t="s">
        <v>10</v>
      </c>
      <c r="H412">
        <v>66</v>
      </c>
      <c r="I412" t="str">
        <f>IFERROR(VLOOKUP(C412,Merchants!$A$2:$D$41,2,FALSE),"Merchant not found")</f>
        <v>Merchant_021</v>
      </c>
      <c r="J412" t="str">
        <f>IFERROR(VLOOKUP(C412,Merchants!$A$2:$D$41,3,FALSE),"Merchant not found")</f>
        <v>food_delivery</v>
      </c>
      <c r="K412" t="str">
        <f>IFERROR(VLOOKUP(C412,Merchants!$A$2:$D$41,4,FALSE), "Merchant Not Fount")</f>
        <v>East</v>
      </c>
      <c r="L412" s="2">
        <f>HLOOKUP(F412,HLOOKUP_Reference!$A$1:$E$2,2,FALSE)</f>
        <v>2E-3</v>
      </c>
      <c r="M412">
        <f>SUMIFS(Daily_Merchant_Pivot!$E:$E,Daily_Merchant_Pivot!$A:$A,C412,Daily_Merchant_Pivot!$D:$D,INT(D412))</f>
        <v>99</v>
      </c>
      <c r="N412" t="str">
        <f t="shared" si="12"/>
        <v>Normal Merchant Day</v>
      </c>
      <c r="O412" s="7">
        <f t="shared" si="13"/>
        <v>46041</v>
      </c>
    </row>
    <row r="413" spans="1:15" x14ac:dyDescent="0.3">
      <c r="A413" t="s">
        <v>426</v>
      </c>
      <c r="B413">
        <v>106</v>
      </c>
      <c r="C413">
        <v>38</v>
      </c>
      <c r="D413" s="1">
        <v>46037.154861111114</v>
      </c>
      <c r="E413">
        <v>499</v>
      </c>
      <c r="F413" t="s">
        <v>12</v>
      </c>
      <c r="G413" t="s">
        <v>10</v>
      </c>
      <c r="H413">
        <v>62</v>
      </c>
      <c r="I413" t="str">
        <f>IFERROR(VLOOKUP(C413,Merchants!$A$2:$D$41,2,FALSE),"Merchant not found")</f>
        <v>Merchant_038</v>
      </c>
      <c r="J413" t="str">
        <f>IFERROR(VLOOKUP(C413,Merchants!$A$2:$D$41,3,FALSE),"Merchant not found")</f>
        <v>grocery</v>
      </c>
      <c r="K413" t="str">
        <f>IFERROR(VLOOKUP(C413,Merchants!$A$2:$D$41,4,FALSE), "Merchant Not Fount")</f>
        <v>East</v>
      </c>
      <c r="L413" s="2">
        <f>HLOOKUP(F413,HLOOKUP_Reference!$A$1:$E$2,2,FALSE)</f>
        <v>2E-3</v>
      </c>
      <c r="M413">
        <f>SUMIFS(Daily_Merchant_Pivot!$E:$E,Daily_Merchant_Pivot!$A:$A,C413,Daily_Merchant_Pivot!$D:$D,INT(D413))</f>
        <v>499</v>
      </c>
      <c r="N413" t="str">
        <f t="shared" si="12"/>
        <v>Normal Merchant Day</v>
      </c>
      <c r="O413" s="7">
        <f t="shared" si="13"/>
        <v>46037</v>
      </c>
    </row>
    <row r="414" spans="1:15" x14ac:dyDescent="0.3">
      <c r="A414" t="s">
        <v>427</v>
      </c>
      <c r="B414">
        <v>29</v>
      </c>
      <c r="C414">
        <v>30</v>
      </c>
      <c r="D414" s="1">
        <v>46025.686111111114</v>
      </c>
      <c r="E414">
        <v>149</v>
      </c>
      <c r="F414" t="s">
        <v>15</v>
      </c>
      <c r="G414" t="s">
        <v>10</v>
      </c>
      <c r="H414">
        <v>16</v>
      </c>
      <c r="I414" t="str">
        <f>IFERROR(VLOOKUP(C414,Merchants!$A$2:$D$41,2,FALSE),"Merchant not found")</f>
        <v>Merchant_030</v>
      </c>
      <c r="J414" t="str">
        <f>IFERROR(VLOOKUP(C414,Merchants!$A$2:$D$41,3,FALSE),"Merchant not found")</f>
        <v>travel</v>
      </c>
      <c r="K414" t="str">
        <f>IFERROR(VLOOKUP(C414,Merchants!$A$2:$D$41,4,FALSE), "Merchant Not Fount")</f>
        <v>West</v>
      </c>
      <c r="L414" s="2">
        <f>HLOOKUP(F414,HLOOKUP_Reference!$A$1:$E$2,2,FALSE)</f>
        <v>0.01</v>
      </c>
      <c r="M414">
        <f>SUMIFS(Daily_Merchant_Pivot!$E:$E,Daily_Merchant_Pivot!$A:$A,C414,Daily_Merchant_Pivot!$D:$D,INT(D414))</f>
        <v>149</v>
      </c>
      <c r="N414" t="str">
        <f t="shared" si="12"/>
        <v>Normal Merchant Day</v>
      </c>
      <c r="O414" s="7">
        <f t="shared" si="13"/>
        <v>46025</v>
      </c>
    </row>
    <row r="415" spans="1:15" x14ac:dyDescent="0.3">
      <c r="A415" t="s">
        <v>428</v>
      </c>
      <c r="B415">
        <v>289</v>
      </c>
      <c r="C415">
        <v>4</v>
      </c>
      <c r="D415" s="1">
        <v>46039.561805555553</v>
      </c>
      <c r="E415">
        <v>1499</v>
      </c>
      <c r="F415" t="s">
        <v>24</v>
      </c>
      <c r="G415" t="s">
        <v>10</v>
      </c>
      <c r="H415">
        <v>71</v>
      </c>
      <c r="I415" t="str">
        <f>IFERROR(VLOOKUP(C415,Merchants!$A$2:$D$41,2,FALSE),"Merchant not found")</f>
        <v>Merchant_004</v>
      </c>
      <c r="J415" t="str">
        <f>IFERROR(VLOOKUP(C415,Merchants!$A$2:$D$41,3,FALSE),"Merchant not found")</f>
        <v>ecommerce</v>
      </c>
      <c r="K415" t="str">
        <f>IFERROR(VLOOKUP(C415,Merchants!$A$2:$D$41,4,FALSE), "Merchant Not Fount")</f>
        <v>East</v>
      </c>
      <c r="L415" s="2">
        <f>HLOOKUP(F415,HLOOKUP_Reference!$A$1:$E$2,2,FALSE)</f>
        <v>1.4999999999999999E-2</v>
      </c>
      <c r="M415">
        <f>SUMIFS(Daily_Merchant_Pivot!$E:$E,Daily_Merchant_Pivot!$A:$A,C415,Daily_Merchant_Pivot!$D:$D,INT(D415))</f>
        <v>1499</v>
      </c>
      <c r="N415" t="str">
        <f t="shared" si="12"/>
        <v>Normal Merchant Day</v>
      </c>
      <c r="O415" s="7">
        <f t="shared" si="13"/>
        <v>46039</v>
      </c>
    </row>
    <row r="416" spans="1:15" x14ac:dyDescent="0.3">
      <c r="A416" t="s">
        <v>429</v>
      </c>
      <c r="B416">
        <v>158</v>
      </c>
      <c r="C416">
        <v>2</v>
      </c>
      <c r="D416" s="1">
        <v>46037.910416666666</v>
      </c>
      <c r="E416">
        <v>1499</v>
      </c>
      <c r="F416" t="s">
        <v>24</v>
      </c>
      <c r="G416" t="s">
        <v>10</v>
      </c>
      <c r="H416">
        <v>50</v>
      </c>
      <c r="I416" t="str">
        <f>IFERROR(VLOOKUP(C416,Merchants!$A$2:$D$41,2,FALSE),"Merchant not found")</f>
        <v>Merchant_002</v>
      </c>
      <c r="J416" t="str">
        <f>IFERROR(VLOOKUP(C416,Merchants!$A$2:$D$41,3,FALSE),"Merchant not found")</f>
        <v>grocery</v>
      </c>
      <c r="K416" t="str">
        <f>IFERROR(VLOOKUP(C416,Merchants!$A$2:$D$41,4,FALSE), "Merchant Not Fount")</f>
        <v>West</v>
      </c>
      <c r="L416" s="2">
        <f>HLOOKUP(F416,HLOOKUP_Reference!$A$1:$E$2,2,FALSE)</f>
        <v>1.4999999999999999E-2</v>
      </c>
      <c r="M416">
        <f>SUMIFS(Daily_Merchant_Pivot!$E:$E,Daily_Merchant_Pivot!$A:$A,C416,Daily_Merchant_Pivot!$D:$D,INT(D416))</f>
        <v>1499</v>
      </c>
      <c r="N416" t="str">
        <f t="shared" si="12"/>
        <v>Normal Merchant Day</v>
      </c>
      <c r="O416" s="7">
        <f t="shared" si="13"/>
        <v>46037</v>
      </c>
    </row>
    <row r="417" spans="1:15" x14ac:dyDescent="0.3">
      <c r="A417" t="s">
        <v>430</v>
      </c>
      <c r="B417">
        <v>112</v>
      </c>
      <c r="C417">
        <v>38</v>
      </c>
      <c r="D417" s="1">
        <v>46031.032638888886</v>
      </c>
      <c r="E417">
        <v>49</v>
      </c>
      <c r="F417" t="s">
        <v>12</v>
      </c>
      <c r="G417" t="s">
        <v>10</v>
      </c>
      <c r="H417">
        <v>9</v>
      </c>
      <c r="I417" t="str">
        <f>IFERROR(VLOOKUP(C417,Merchants!$A$2:$D$41,2,FALSE),"Merchant not found")</f>
        <v>Merchant_038</v>
      </c>
      <c r="J417" t="str">
        <f>IFERROR(VLOOKUP(C417,Merchants!$A$2:$D$41,3,FALSE),"Merchant not found")</f>
        <v>grocery</v>
      </c>
      <c r="K417" t="str">
        <f>IFERROR(VLOOKUP(C417,Merchants!$A$2:$D$41,4,FALSE), "Merchant Not Fount")</f>
        <v>East</v>
      </c>
      <c r="L417" s="2">
        <f>HLOOKUP(F417,HLOOKUP_Reference!$A$1:$E$2,2,FALSE)</f>
        <v>2E-3</v>
      </c>
      <c r="M417">
        <f>SUMIFS(Daily_Merchant_Pivot!$E:$E,Daily_Merchant_Pivot!$A:$A,C417,Daily_Merchant_Pivot!$D:$D,INT(D417))</f>
        <v>348</v>
      </c>
      <c r="N417" t="str">
        <f t="shared" si="12"/>
        <v>Normal Merchant Day</v>
      </c>
      <c r="O417" s="7">
        <f t="shared" si="13"/>
        <v>46031</v>
      </c>
    </row>
    <row r="418" spans="1:15" x14ac:dyDescent="0.3">
      <c r="A418" t="s">
        <v>431</v>
      </c>
      <c r="B418">
        <v>33</v>
      </c>
      <c r="C418">
        <v>35</v>
      </c>
      <c r="D418" s="1">
        <v>46024.556944444441</v>
      </c>
      <c r="E418">
        <v>299</v>
      </c>
      <c r="F418" t="s">
        <v>24</v>
      </c>
      <c r="G418" t="s">
        <v>25</v>
      </c>
      <c r="H418">
        <v>7</v>
      </c>
      <c r="I418" t="str">
        <f>IFERROR(VLOOKUP(C418,Merchants!$A$2:$D$41,2,FALSE),"Merchant not found")</f>
        <v>Merchant_035</v>
      </c>
      <c r="J418" t="str">
        <f>IFERROR(VLOOKUP(C418,Merchants!$A$2:$D$41,3,FALSE),"Merchant not found")</f>
        <v>recharge</v>
      </c>
      <c r="K418" t="str">
        <f>IFERROR(VLOOKUP(C418,Merchants!$A$2:$D$41,4,FALSE), "Merchant Not Fount")</f>
        <v>East</v>
      </c>
      <c r="L418" s="2">
        <f>HLOOKUP(F418,HLOOKUP_Reference!$A$1:$E$2,2,FALSE)</f>
        <v>1.4999999999999999E-2</v>
      </c>
      <c r="M418">
        <f>SUMIFS(Daily_Merchant_Pivot!$E:$E,Daily_Merchant_Pivot!$A:$A,C418,Daily_Merchant_Pivot!$D:$D,INT(D418))</f>
        <v>1847</v>
      </c>
      <c r="N418" t="str">
        <f t="shared" si="12"/>
        <v>Normal Merchant Day</v>
      </c>
      <c r="O418" s="7">
        <f t="shared" si="13"/>
        <v>46024</v>
      </c>
    </row>
    <row r="419" spans="1:15" x14ac:dyDescent="0.3">
      <c r="A419" t="s">
        <v>432</v>
      </c>
      <c r="B419">
        <v>242</v>
      </c>
      <c r="C419">
        <v>3</v>
      </c>
      <c r="D419" s="1">
        <v>46052.124305555553</v>
      </c>
      <c r="E419">
        <v>49</v>
      </c>
      <c r="F419" t="s">
        <v>12</v>
      </c>
      <c r="G419" t="s">
        <v>10</v>
      </c>
      <c r="H419">
        <v>36</v>
      </c>
      <c r="I419" t="str">
        <f>IFERROR(VLOOKUP(C419,Merchants!$A$2:$D$41,2,FALSE),"Merchant not found")</f>
        <v>Merchant_003</v>
      </c>
      <c r="J419" t="str">
        <f>IFERROR(VLOOKUP(C419,Merchants!$A$2:$D$41,3,FALSE),"Merchant not found")</f>
        <v>grocery</v>
      </c>
      <c r="K419" t="str">
        <f>IFERROR(VLOOKUP(C419,Merchants!$A$2:$D$41,4,FALSE), "Merchant Not Fount")</f>
        <v>East</v>
      </c>
      <c r="L419" s="2">
        <f>HLOOKUP(F419,HLOOKUP_Reference!$A$1:$E$2,2,FALSE)</f>
        <v>2E-3</v>
      </c>
      <c r="M419">
        <f>SUMIFS(Daily_Merchant_Pivot!$E:$E,Daily_Merchant_Pivot!$A:$A,C419,Daily_Merchant_Pivot!$D:$D,INT(D419))</f>
        <v>49</v>
      </c>
      <c r="N419" t="str">
        <f t="shared" si="12"/>
        <v>Normal Merchant Day</v>
      </c>
      <c r="O419" s="7">
        <f t="shared" si="13"/>
        <v>46052</v>
      </c>
    </row>
    <row r="420" spans="1:15" x14ac:dyDescent="0.3">
      <c r="A420" t="s">
        <v>433</v>
      </c>
      <c r="B420">
        <v>70</v>
      </c>
      <c r="C420">
        <v>27</v>
      </c>
      <c r="D420" s="1">
        <v>46036.242361111108</v>
      </c>
      <c r="E420">
        <v>149</v>
      </c>
      <c r="F420" t="s">
        <v>12</v>
      </c>
      <c r="G420" t="s">
        <v>10</v>
      </c>
      <c r="H420">
        <v>47</v>
      </c>
      <c r="I420" t="str">
        <f>IFERROR(VLOOKUP(C420,Merchants!$A$2:$D$41,2,FALSE),"Merchant not found")</f>
        <v>Merchant_027</v>
      </c>
      <c r="J420" t="str">
        <f>IFERROR(VLOOKUP(C420,Merchants!$A$2:$D$41,3,FALSE),"Merchant not found")</f>
        <v>ecommerce</v>
      </c>
      <c r="K420" t="str">
        <f>IFERROR(VLOOKUP(C420,Merchants!$A$2:$D$41,4,FALSE), "Merchant Not Fount")</f>
        <v>North</v>
      </c>
      <c r="L420" s="2">
        <f>HLOOKUP(F420,HLOOKUP_Reference!$A$1:$E$2,2,FALSE)</f>
        <v>2E-3</v>
      </c>
      <c r="M420">
        <f>SUMIFS(Daily_Merchant_Pivot!$E:$E,Daily_Merchant_Pivot!$A:$A,C420,Daily_Merchant_Pivot!$D:$D,INT(D420))</f>
        <v>149</v>
      </c>
      <c r="N420" t="str">
        <f t="shared" si="12"/>
        <v>Normal Merchant Day</v>
      </c>
      <c r="O420" s="7">
        <f t="shared" si="13"/>
        <v>46036</v>
      </c>
    </row>
    <row r="421" spans="1:15" x14ac:dyDescent="0.3">
      <c r="A421" t="s">
        <v>434</v>
      </c>
      <c r="B421">
        <v>194</v>
      </c>
      <c r="C421">
        <v>25</v>
      </c>
      <c r="D421" s="1">
        <v>46051.519444444442</v>
      </c>
      <c r="E421">
        <v>49</v>
      </c>
      <c r="F421" t="s">
        <v>9</v>
      </c>
      <c r="G421" t="s">
        <v>10</v>
      </c>
      <c r="H421">
        <v>10</v>
      </c>
      <c r="I421" t="str">
        <f>IFERROR(VLOOKUP(C421,Merchants!$A$2:$D$41,2,FALSE),"Merchant not found")</f>
        <v>Merchant_025</v>
      </c>
      <c r="J421" t="str">
        <f>IFERROR(VLOOKUP(C421,Merchants!$A$2:$D$41,3,FALSE),"Merchant not found")</f>
        <v>travel</v>
      </c>
      <c r="K421" t="str">
        <f>IFERROR(VLOOKUP(C421,Merchants!$A$2:$D$41,4,FALSE), "Merchant Not Fount")</f>
        <v>South</v>
      </c>
      <c r="L421" s="2">
        <f>HLOOKUP(F421,HLOOKUP_Reference!$A$1:$E$2,2,FALSE)</f>
        <v>6.4999999999999997E-3</v>
      </c>
      <c r="M421">
        <f>SUMIFS(Daily_Merchant_Pivot!$E:$E,Daily_Merchant_Pivot!$A:$A,C421,Daily_Merchant_Pivot!$D:$D,INT(D421))</f>
        <v>3048</v>
      </c>
      <c r="N421" t="str">
        <f t="shared" si="12"/>
        <v>Normal Merchant Day</v>
      </c>
      <c r="O421" s="7">
        <f t="shared" si="13"/>
        <v>46051</v>
      </c>
    </row>
    <row r="422" spans="1:15" x14ac:dyDescent="0.3">
      <c r="A422" t="s">
        <v>435</v>
      </c>
      <c r="B422">
        <v>277</v>
      </c>
      <c r="C422">
        <v>9</v>
      </c>
      <c r="D422" s="1">
        <v>46044.913194444445</v>
      </c>
      <c r="E422">
        <v>799</v>
      </c>
      <c r="F422" t="s">
        <v>12</v>
      </c>
      <c r="G422" t="s">
        <v>10</v>
      </c>
      <c r="H422">
        <v>83</v>
      </c>
      <c r="I422" t="str">
        <f>IFERROR(VLOOKUP(C422,Merchants!$A$2:$D$41,2,FALSE),"Merchant not found")</f>
        <v>Merchant_009</v>
      </c>
      <c r="J422" t="str">
        <f>IFERROR(VLOOKUP(C422,Merchants!$A$2:$D$41,3,FALSE),"Merchant not found")</f>
        <v>ecommerce</v>
      </c>
      <c r="K422" t="str">
        <f>IFERROR(VLOOKUP(C422,Merchants!$A$2:$D$41,4,FALSE), "Merchant Not Fount")</f>
        <v>North</v>
      </c>
      <c r="L422" s="2">
        <f>HLOOKUP(F422,HLOOKUP_Reference!$A$1:$E$2,2,FALSE)</f>
        <v>2E-3</v>
      </c>
      <c r="M422">
        <f>SUMIFS(Daily_Merchant_Pivot!$E:$E,Daily_Merchant_Pivot!$A:$A,C422,Daily_Merchant_Pivot!$D:$D,INT(D422))</f>
        <v>1298</v>
      </c>
      <c r="N422" t="str">
        <f t="shared" si="12"/>
        <v>Normal Merchant Day</v>
      </c>
      <c r="O422" s="7">
        <f t="shared" si="13"/>
        <v>46044</v>
      </c>
    </row>
    <row r="423" spans="1:15" x14ac:dyDescent="0.3">
      <c r="A423" t="s">
        <v>436</v>
      </c>
      <c r="B423">
        <v>92</v>
      </c>
      <c r="C423">
        <v>35</v>
      </c>
      <c r="D423" s="1">
        <v>46050.463194444441</v>
      </c>
      <c r="E423">
        <v>49</v>
      </c>
      <c r="F423" t="s">
        <v>12</v>
      </c>
      <c r="G423" t="s">
        <v>10</v>
      </c>
      <c r="H423">
        <v>50</v>
      </c>
      <c r="I423" t="str">
        <f>IFERROR(VLOOKUP(C423,Merchants!$A$2:$D$41,2,FALSE),"Merchant not found")</f>
        <v>Merchant_035</v>
      </c>
      <c r="J423" t="str">
        <f>IFERROR(VLOOKUP(C423,Merchants!$A$2:$D$41,3,FALSE),"Merchant not found")</f>
        <v>recharge</v>
      </c>
      <c r="K423" t="str">
        <f>IFERROR(VLOOKUP(C423,Merchants!$A$2:$D$41,4,FALSE), "Merchant Not Fount")</f>
        <v>East</v>
      </c>
      <c r="L423" s="2">
        <f>HLOOKUP(F423,HLOOKUP_Reference!$A$1:$E$2,2,FALSE)</f>
        <v>2E-3</v>
      </c>
      <c r="M423">
        <f>SUMIFS(Daily_Merchant_Pivot!$E:$E,Daily_Merchant_Pivot!$A:$A,C423,Daily_Merchant_Pivot!$D:$D,INT(D423))</f>
        <v>49</v>
      </c>
      <c r="N423" t="str">
        <f t="shared" si="12"/>
        <v>Normal Merchant Day</v>
      </c>
      <c r="O423" s="7">
        <f t="shared" si="13"/>
        <v>46050</v>
      </c>
    </row>
    <row r="424" spans="1:15" x14ac:dyDescent="0.3">
      <c r="A424" t="s">
        <v>437</v>
      </c>
      <c r="B424">
        <v>115</v>
      </c>
      <c r="C424">
        <v>1</v>
      </c>
      <c r="D424" s="1">
        <v>46039.198611111111</v>
      </c>
      <c r="E424">
        <v>149</v>
      </c>
      <c r="F424" t="s">
        <v>9</v>
      </c>
      <c r="G424" t="s">
        <v>10</v>
      </c>
      <c r="H424">
        <v>96</v>
      </c>
      <c r="I424" t="str">
        <f>IFERROR(VLOOKUP(C424,Merchants!$A$2:$D$41,2,FALSE),"Merchant not found")</f>
        <v>Merchant_001</v>
      </c>
      <c r="J424" t="str">
        <f>IFERROR(VLOOKUP(C424,Merchants!$A$2:$D$41,3,FALSE),"Merchant not found")</f>
        <v>ecommerce</v>
      </c>
      <c r="K424" t="str">
        <f>IFERROR(VLOOKUP(C424,Merchants!$A$2:$D$41,4,FALSE), "Merchant Not Fount")</f>
        <v>South</v>
      </c>
      <c r="L424" s="2">
        <f>HLOOKUP(F424,HLOOKUP_Reference!$A$1:$E$2,2,FALSE)</f>
        <v>6.4999999999999997E-3</v>
      </c>
      <c r="M424">
        <f>SUMIFS(Daily_Merchant_Pivot!$E:$E,Daily_Merchant_Pivot!$A:$A,C424,Daily_Merchant_Pivot!$D:$D,INT(D424))</f>
        <v>149</v>
      </c>
      <c r="N424" t="str">
        <f t="shared" si="12"/>
        <v>Normal Merchant Day</v>
      </c>
      <c r="O424" s="7">
        <f t="shared" si="13"/>
        <v>46039</v>
      </c>
    </row>
    <row r="425" spans="1:15" x14ac:dyDescent="0.3">
      <c r="A425" t="s">
        <v>438</v>
      </c>
      <c r="B425">
        <v>345</v>
      </c>
      <c r="C425">
        <v>35</v>
      </c>
      <c r="D425" s="1">
        <v>46023.395138888889</v>
      </c>
      <c r="E425">
        <v>499</v>
      </c>
      <c r="F425" t="s">
        <v>24</v>
      </c>
      <c r="G425" t="s">
        <v>10</v>
      </c>
      <c r="H425">
        <v>54</v>
      </c>
      <c r="I425" t="str">
        <f>IFERROR(VLOOKUP(C425,Merchants!$A$2:$D$41,2,FALSE),"Merchant not found")</f>
        <v>Merchant_035</v>
      </c>
      <c r="J425" t="str">
        <f>IFERROR(VLOOKUP(C425,Merchants!$A$2:$D$41,3,FALSE),"Merchant not found")</f>
        <v>recharge</v>
      </c>
      <c r="K425" t="str">
        <f>IFERROR(VLOOKUP(C425,Merchants!$A$2:$D$41,4,FALSE), "Merchant Not Fount")</f>
        <v>East</v>
      </c>
      <c r="L425" s="2">
        <f>HLOOKUP(F425,HLOOKUP_Reference!$A$1:$E$2,2,FALSE)</f>
        <v>1.4999999999999999E-2</v>
      </c>
      <c r="M425">
        <f>SUMIFS(Daily_Merchant_Pivot!$E:$E,Daily_Merchant_Pivot!$A:$A,C425,Daily_Merchant_Pivot!$D:$D,INT(D425))</f>
        <v>798</v>
      </c>
      <c r="N425" t="str">
        <f t="shared" si="12"/>
        <v>Normal Merchant Day</v>
      </c>
      <c r="O425" s="7">
        <f t="shared" si="13"/>
        <v>46023</v>
      </c>
    </row>
    <row r="426" spans="1:15" x14ac:dyDescent="0.3">
      <c r="A426" t="s">
        <v>439</v>
      </c>
      <c r="B426">
        <v>118</v>
      </c>
      <c r="C426">
        <v>16</v>
      </c>
      <c r="D426" s="1">
        <v>46040.536111111112</v>
      </c>
      <c r="E426">
        <v>49</v>
      </c>
      <c r="F426" t="s">
        <v>12</v>
      </c>
      <c r="G426" t="s">
        <v>10</v>
      </c>
      <c r="H426">
        <v>58</v>
      </c>
      <c r="I426" t="str">
        <f>IFERROR(VLOOKUP(C426,Merchants!$A$2:$D$41,2,FALSE),"Merchant not found")</f>
        <v>Merchant_016</v>
      </c>
      <c r="J426" t="str">
        <f>IFERROR(VLOOKUP(C426,Merchants!$A$2:$D$41,3,FALSE),"Merchant not found")</f>
        <v>bill_payment</v>
      </c>
      <c r="K426" t="str">
        <f>IFERROR(VLOOKUP(C426,Merchants!$A$2:$D$41,4,FALSE), "Merchant Not Fount")</f>
        <v>West</v>
      </c>
      <c r="L426" s="2">
        <f>HLOOKUP(F426,HLOOKUP_Reference!$A$1:$E$2,2,FALSE)</f>
        <v>2E-3</v>
      </c>
      <c r="M426">
        <f>SUMIFS(Daily_Merchant_Pivot!$E:$E,Daily_Merchant_Pivot!$A:$A,C426,Daily_Merchant_Pivot!$D:$D,INT(D426))</f>
        <v>49</v>
      </c>
      <c r="N426" t="str">
        <f t="shared" si="12"/>
        <v>Normal Merchant Day</v>
      </c>
      <c r="O426" s="7">
        <f t="shared" si="13"/>
        <v>46040</v>
      </c>
    </row>
    <row r="427" spans="1:15" x14ac:dyDescent="0.3">
      <c r="A427" t="s">
        <v>440</v>
      </c>
      <c r="B427">
        <v>97</v>
      </c>
      <c r="C427">
        <v>8</v>
      </c>
      <c r="D427" s="1">
        <v>46034.178472222222</v>
      </c>
      <c r="E427">
        <v>99</v>
      </c>
      <c r="F427" t="s">
        <v>15</v>
      </c>
      <c r="G427" t="s">
        <v>10</v>
      </c>
      <c r="H427">
        <v>4</v>
      </c>
      <c r="I427" t="str">
        <f>IFERROR(VLOOKUP(C427,Merchants!$A$2:$D$41,2,FALSE),"Merchant not found")</f>
        <v>Merchant_008</v>
      </c>
      <c r="J427" t="str">
        <f>IFERROR(VLOOKUP(C427,Merchants!$A$2:$D$41,3,FALSE),"Merchant not found")</f>
        <v>food_delivery</v>
      </c>
      <c r="K427" t="str">
        <f>IFERROR(VLOOKUP(C427,Merchants!$A$2:$D$41,4,FALSE), "Merchant Not Fount")</f>
        <v>North</v>
      </c>
      <c r="L427" s="2">
        <f>HLOOKUP(F427,HLOOKUP_Reference!$A$1:$E$2,2,FALSE)</f>
        <v>0.01</v>
      </c>
      <c r="M427">
        <f>SUMIFS(Daily_Merchant_Pivot!$E:$E,Daily_Merchant_Pivot!$A:$A,C427,Daily_Merchant_Pivot!$D:$D,INT(D427))</f>
        <v>398</v>
      </c>
      <c r="N427" t="str">
        <f t="shared" si="12"/>
        <v>Normal Merchant Day</v>
      </c>
      <c r="O427" s="7">
        <f t="shared" si="13"/>
        <v>46034</v>
      </c>
    </row>
    <row r="428" spans="1:15" x14ac:dyDescent="0.3">
      <c r="A428" t="s">
        <v>441</v>
      </c>
      <c r="B428">
        <v>315</v>
      </c>
      <c r="C428">
        <v>2</v>
      </c>
      <c r="D428" s="1">
        <v>46048.893055555556</v>
      </c>
      <c r="E428">
        <v>299</v>
      </c>
      <c r="F428" t="s">
        <v>9</v>
      </c>
      <c r="G428" t="s">
        <v>10</v>
      </c>
      <c r="H428">
        <v>30</v>
      </c>
      <c r="I428" t="str">
        <f>IFERROR(VLOOKUP(C428,Merchants!$A$2:$D$41,2,FALSE),"Merchant not found")</f>
        <v>Merchant_002</v>
      </c>
      <c r="J428" t="str">
        <f>IFERROR(VLOOKUP(C428,Merchants!$A$2:$D$41,3,FALSE),"Merchant not found")</f>
        <v>grocery</v>
      </c>
      <c r="K428" t="str">
        <f>IFERROR(VLOOKUP(C428,Merchants!$A$2:$D$41,4,FALSE), "Merchant Not Fount")</f>
        <v>West</v>
      </c>
      <c r="L428" s="2">
        <f>HLOOKUP(F428,HLOOKUP_Reference!$A$1:$E$2,2,FALSE)</f>
        <v>6.4999999999999997E-3</v>
      </c>
      <c r="M428">
        <f>SUMIFS(Daily_Merchant_Pivot!$E:$E,Daily_Merchant_Pivot!$A:$A,C428,Daily_Merchant_Pivot!$D:$D,INT(D428))</f>
        <v>299</v>
      </c>
      <c r="N428" t="str">
        <f t="shared" si="12"/>
        <v>Normal Merchant Day</v>
      </c>
      <c r="O428" s="7">
        <f t="shared" si="13"/>
        <v>46048</v>
      </c>
    </row>
    <row r="429" spans="1:15" x14ac:dyDescent="0.3">
      <c r="A429" t="s">
        <v>442</v>
      </c>
      <c r="B429">
        <v>305</v>
      </c>
      <c r="C429">
        <v>3</v>
      </c>
      <c r="D429" s="1">
        <v>46029.087500000001</v>
      </c>
      <c r="E429">
        <v>299</v>
      </c>
      <c r="F429" t="s">
        <v>12</v>
      </c>
      <c r="G429" t="s">
        <v>10</v>
      </c>
      <c r="H429">
        <v>57</v>
      </c>
      <c r="I429" t="str">
        <f>IFERROR(VLOOKUP(C429,Merchants!$A$2:$D$41,2,FALSE),"Merchant not found")</f>
        <v>Merchant_003</v>
      </c>
      <c r="J429" t="str">
        <f>IFERROR(VLOOKUP(C429,Merchants!$A$2:$D$41,3,FALSE),"Merchant not found")</f>
        <v>grocery</v>
      </c>
      <c r="K429" t="str">
        <f>IFERROR(VLOOKUP(C429,Merchants!$A$2:$D$41,4,FALSE), "Merchant Not Fount")</f>
        <v>East</v>
      </c>
      <c r="L429" s="2">
        <f>HLOOKUP(F429,HLOOKUP_Reference!$A$1:$E$2,2,FALSE)</f>
        <v>2E-3</v>
      </c>
      <c r="M429">
        <f>SUMIFS(Daily_Merchant_Pivot!$E:$E,Daily_Merchant_Pivot!$A:$A,C429,Daily_Merchant_Pivot!$D:$D,INT(D429))</f>
        <v>798</v>
      </c>
      <c r="N429" t="str">
        <f t="shared" si="12"/>
        <v>Normal Merchant Day</v>
      </c>
      <c r="O429" s="7">
        <f t="shared" si="13"/>
        <v>46029</v>
      </c>
    </row>
    <row r="430" spans="1:15" x14ac:dyDescent="0.3">
      <c r="A430" t="s">
        <v>443</v>
      </c>
      <c r="B430">
        <v>25</v>
      </c>
      <c r="C430">
        <v>16</v>
      </c>
      <c r="D430" s="1">
        <v>46042.90625</v>
      </c>
      <c r="E430">
        <v>299</v>
      </c>
      <c r="F430" t="s">
        <v>12</v>
      </c>
      <c r="G430" t="s">
        <v>10</v>
      </c>
      <c r="H430">
        <v>94</v>
      </c>
      <c r="I430" t="str">
        <f>IFERROR(VLOOKUP(C430,Merchants!$A$2:$D$41,2,FALSE),"Merchant not found")</f>
        <v>Merchant_016</v>
      </c>
      <c r="J430" t="str">
        <f>IFERROR(VLOOKUP(C430,Merchants!$A$2:$D$41,3,FALSE),"Merchant not found")</f>
        <v>bill_payment</v>
      </c>
      <c r="K430" t="str">
        <f>IFERROR(VLOOKUP(C430,Merchants!$A$2:$D$41,4,FALSE), "Merchant Not Fount")</f>
        <v>West</v>
      </c>
      <c r="L430" s="2">
        <f>HLOOKUP(F430,HLOOKUP_Reference!$A$1:$E$2,2,FALSE)</f>
        <v>2E-3</v>
      </c>
      <c r="M430">
        <f>SUMIFS(Daily_Merchant_Pivot!$E:$E,Daily_Merchant_Pivot!$A:$A,C430,Daily_Merchant_Pivot!$D:$D,INT(D430))</f>
        <v>448</v>
      </c>
      <c r="N430" t="str">
        <f t="shared" si="12"/>
        <v>Normal Merchant Day</v>
      </c>
      <c r="O430" s="7">
        <f t="shared" si="13"/>
        <v>46042</v>
      </c>
    </row>
    <row r="431" spans="1:15" x14ac:dyDescent="0.3">
      <c r="A431" t="s">
        <v>444</v>
      </c>
      <c r="B431">
        <v>120</v>
      </c>
      <c r="C431">
        <v>35</v>
      </c>
      <c r="D431" s="1">
        <v>46024.519444444442</v>
      </c>
      <c r="E431">
        <v>49</v>
      </c>
      <c r="F431" t="s">
        <v>12</v>
      </c>
      <c r="G431" t="s">
        <v>10</v>
      </c>
      <c r="H431">
        <v>27</v>
      </c>
      <c r="I431" t="str">
        <f>IFERROR(VLOOKUP(C431,Merchants!$A$2:$D$41,2,FALSE),"Merchant not found")</f>
        <v>Merchant_035</v>
      </c>
      <c r="J431" t="str">
        <f>IFERROR(VLOOKUP(C431,Merchants!$A$2:$D$41,3,FALSE),"Merchant not found")</f>
        <v>recharge</v>
      </c>
      <c r="K431" t="str">
        <f>IFERROR(VLOOKUP(C431,Merchants!$A$2:$D$41,4,FALSE), "Merchant Not Fount")</f>
        <v>East</v>
      </c>
      <c r="L431" s="2">
        <f>HLOOKUP(F431,HLOOKUP_Reference!$A$1:$E$2,2,FALSE)</f>
        <v>2E-3</v>
      </c>
      <c r="M431">
        <f>SUMIFS(Daily_Merchant_Pivot!$E:$E,Daily_Merchant_Pivot!$A:$A,C431,Daily_Merchant_Pivot!$D:$D,INT(D431))</f>
        <v>1847</v>
      </c>
      <c r="N431" t="str">
        <f t="shared" si="12"/>
        <v>Normal Merchant Day</v>
      </c>
      <c r="O431" s="7">
        <f t="shared" si="13"/>
        <v>46024</v>
      </c>
    </row>
    <row r="432" spans="1:15" x14ac:dyDescent="0.3">
      <c r="A432" t="s">
        <v>445</v>
      </c>
      <c r="B432">
        <v>258</v>
      </c>
      <c r="C432">
        <v>19</v>
      </c>
      <c r="D432" s="1">
        <v>46047.047222222223</v>
      </c>
      <c r="E432">
        <v>49</v>
      </c>
      <c r="F432" t="s">
        <v>9</v>
      </c>
      <c r="G432" t="s">
        <v>10</v>
      </c>
      <c r="H432">
        <v>29</v>
      </c>
      <c r="I432" t="str">
        <f>IFERROR(VLOOKUP(C432,Merchants!$A$2:$D$41,2,FALSE),"Merchant not found")</f>
        <v>Merchant_019</v>
      </c>
      <c r="J432" t="str">
        <f>IFERROR(VLOOKUP(C432,Merchants!$A$2:$D$41,3,FALSE),"Merchant not found")</f>
        <v>grocery</v>
      </c>
      <c r="K432" t="str">
        <f>IFERROR(VLOOKUP(C432,Merchants!$A$2:$D$41,4,FALSE), "Merchant Not Fount")</f>
        <v>North</v>
      </c>
      <c r="L432" s="2">
        <f>HLOOKUP(F432,HLOOKUP_Reference!$A$1:$E$2,2,FALSE)</f>
        <v>6.4999999999999997E-3</v>
      </c>
      <c r="M432">
        <f>SUMIFS(Daily_Merchant_Pivot!$E:$E,Daily_Merchant_Pivot!$A:$A,C432,Daily_Merchant_Pivot!$D:$D,INT(D432))</f>
        <v>49</v>
      </c>
      <c r="N432" t="str">
        <f t="shared" si="12"/>
        <v>Normal Merchant Day</v>
      </c>
      <c r="O432" s="7">
        <f t="shared" si="13"/>
        <v>46047</v>
      </c>
    </row>
    <row r="433" spans="1:15" x14ac:dyDescent="0.3">
      <c r="A433" t="s">
        <v>446</v>
      </c>
      <c r="B433">
        <v>164</v>
      </c>
      <c r="C433">
        <v>37</v>
      </c>
      <c r="D433" s="1">
        <v>46049.98333333333</v>
      </c>
      <c r="E433">
        <v>799</v>
      </c>
      <c r="F433" t="s">
        <v>12</v>
      </c>
      <c r="G433" t="s">
        <v>10</v>
      </c>
      <c r="H433">
        <v>76</v>
      </c>
      <c r="I433" t="str">
        <f>IFERROR(VLOOKUP(C433,Merchants!$A$2:$D$41,2,FALSE),"Merchant not found")</f>
        <v>Merchant_037</v>
      </c>
      <c r="J433" t="str">
        <f>IFERROR(VLOOKUP(C433,Merchants!$A$2:$D$41,3,FALSE),"Merchant not found")</f>
        <v>entertainment</v>
      </c>
      <c r="K433" t="str">
        <f>IFERROR(VLOOKUP(C433,Merchants!$A$2:$D$41,4,FALSE), "Merchant Not Fount")</f>
        <v>South</v>
      </c>
      <c r="L433" s="2">
        <f>HLOOKUP(F433,HLOOKUP_Reference!$A$1:$E$2,2,FALSE)</f>
        <v>2E-3</v>
      </c>
      <c r="M433">
        <f>SUMIFS(Daily_Merchant_Pivot!$E:$E,Daily_Merchant_Pivot!$A:$A,C433,Daily_Merchant_Pivot!$D:$D,INT(D433))</f>
        <v>799</v>
      </c>
      <c r="N433" t="str">
        <f t="shared" si="12"/>
        <v>Normal Merchant Day</v>
      </c>
      <c r="O433" s="7">
        <f t="shared" si="13"/>
        <v>46049</v>
      </c>
    </row>
    <row r="434" spans="1:15" x14ac:dyDescent="0.3">
      <c r="A434" t="s">
        <v>447</v>
      </c>
      <c r="B434">
        <v>165</v>
      </c>
      <c r="C434">
        <v>16</v>
      </c>
      <c r="D434" s="1">
        <v>46047.911111111112</v>
      </c>
      <c r="E434">
        <v>49</v>
      </c>
      <c r="F434" t="s">
        <v>9</v>
      </c>
      <c r="G434" t="s">
        <v>10</v>
      </c>
      <c r="H434">
        <v>38</v>
      </c>
      <c r="I434" t="str">
        <f>IFERROR(VLOOKUP(C434,Merchants!$A$2:$D$41,2,FALSE),"Merchant not found")</f>
        <v>Merchant_016</v>
      </c>
      <c r="J434" t="str">
        <f>IFERROR(VLOOKUP(C434,Merchants!$A$2:$D$41,3,FALSE),"Merchant not found")</f>
        <v>bill_payment</v>
      </c>
      <c r="K434" t="str">
        <f>IFERROR(VLOOKUP(C434,Merchants!$A$2:$D$41,4,FALSE), "Merchant Not Fount")</f>
        <v>West</v>
      </c>
      <c r="L434" s="2">
        <f>HLOOKUP(F434,HLOOKUP_Reference!$A$1:$E$2,2,FALSE)</f>
        <v>6.4999999999999997E-3</v>
      </c>
      <c r="M434">
        <f>SUMIFS(Daily_Merchant_Pivot!$E:$E,Daily_Merchant_Pivot!$A:$A,C434,Daily_Merchant_Pivot!$D:$D,INT(D434))</f>
        <v>98</v>
      </c>
      <c r="N434" t="str">
        <f t="shared" si="12"/>
        <v>Normal Merchant Day</v>
      </c>
      <c r="O434" s="7">
        <f t="shared" si="13"/>
        <v>46047</v>
      </c>
    </row>
    <row r="435" spans="1:15" x14ac:dyDescent="0.3">
      <c r="A435" t="s">
        <v>448</v>
      </c>
      <c r="B435">
        <v>267</v>
      </c>
      <c r="C435">
        <v>15</v>
      </c>
      <c r="D435" s="1">
        <v>46051.195833333331</v>
      </c>
      <c r="E435">
        <v>49</v>
      </c>
      <c r="F435" t="s">
        <v>15</v>
      </c>
      <c r="G435" t="s">
        <v>10</v>
      </c>
      <c r="H435">
        <v>52</v>
      </c>
      <c r="I435" t="str">
        <f>IFERROR(VLOOKUP(C435,Merchants!$A$2:$D$41,2,FALSE),"Merchant not found")</f>
        <v>Merchant_015</v>
      </c>
      <c r="J435" t="str">
        <f>IFERROR(VLOOKUP(C435,Merchants!$A$2:$D$41,3,FALSE),"Merchant not found")</f>
        <v>travel</v>
      </c>
      <c r="K435" t="str">
        <f>IFERROR(VLOOKUP(C435,Merchants!$A$2:$D$41,4,FALSE), "Merchant Not Fount")</f>
        <v>North</v>
      </c>
      <c r="L435" s="2">
        <f>HLOOKUP(F435,HLOOKUP_Reference!$A$1:$E$2,2,FALSE)</f>
        <v>0.01</v>
      </c>
      <c r="M435">
        <f>SUMIFS(Daily_Merchant_Pivot!$E:$E,Daily_Merchant_Pivot!$A:$A,C435,Daily_Merchant_Pivot!$D:$D,INT(D435))</f>
        <v>98</v>
      </c>
      <c r="N435" t="str">
        <f t="shared" si="12"/>
        <v>Normal Merchant Day</v>
      </c>
      <c r="O435" s="7">
        <f t="shared" si="13"/>
        <v>46051</v>
      </c>
    </row>
    <row r="436" spans="1:15" x14ac:dyDescent="0.3">
      <c r="A436" t="s">
        <v>449</v>
      </c>
      <c r="B436">
        <v>286</v>
      </c>
      <c r="C436">
        <v>38</v>
      </c>
      <c r="D436" s="1">
        <v>46032.335416666669</v>
      </c>
      <c r="E436">
        <v>299</v>
      </c>
      <c r="F436" t="s">
        <v>9</v>
      </c>
      <c r="G436" t="s">
        <v>10</v>
      </c>
      <c r="H436">
        <v>94</v>
      </c>
      <c r="I436" t="str">
        <f>IFERROR(VLOOKUP(C436,Merchants!$A$2:$D$41,2,FALSE),"Merchant not found")</f>
        <v>Merchant_038</v>
      </c>
      <c r="J436" t="str">
        <f>IFERROR(VLOOKUP(C436,Merchants!$A$2:$D$41,3,FALSE),"Merchant not found")</f>
        <v>grocery</v>
      </c>
      <c r="K436" t="str">
        <f>IFERROR(VLOOKUP(C436,Merchants!$A$2:$D$41,4,FALSE), "Merchant Not Fount")</f>
        <v>East</v>
      </c>
      <c r="L436" s="2">
        <f>HLOOKUP(F436,HLOOKUP_Reference!$A$1:$E$2,2,FALSE)</f>
        <v>6.4999999999999997E-3</v>
      </c>
      <c r="M436">
        <f>SUMIFS(Daily_Merchant_Pivot!$E:$E,Daily_Merchant_Pivot!$A:$A,C436,Daily_Merchant_Pivot!$D:$D,INT(D436))</f>
        <v>398</v>
      </c>
      <c r="N436" t="str">
        <f t="shared" si="12"/>
        <v>Normal Merchant Day</v>
      </c>
      <c r="O436" s="7">
        <f t="shared" si="13"/>
        <v>46032</v>
      </c>
    </row>
    <row r="437" spans="1:15" x14ac:dyDescent="0.3">
      <c r="A437" t="s">
        <v>450</v>
      </c>
      <c r="B437">
        <v>348</v>
      </c>
      <c r="C437">
        <v>28</v>
      </c>
      <c r="D437" s="1">
        <v>46052.236111111109</v>
      </c>
      <c r="E437">
        <v>499</v>
      </c>
      <c r="F437" t="s">
        <v>24</v>
      </c>
      <c r="G437" t="s">
        <v>10</v>
      </c>
      <c r="H437">
        <v>71</v>
      </c>
      <c r="I437" t="str">
        <f>IFERROR(VLOOKUP(C437,Merchants!$A$2:$D$41,2,FALSE),"Merchant not found")</f>
        <v>Merchant_028</v>
      </c>
      <c r="J437" t="str">
        <f>IFERROR(VLOOKUP(C437,Merchants!$A$2:$D$41,3,FALSE),"Merchant not found")</f>
        <v>ecommerce</v>
      </c>
      <c r="K437" t="str">
        <f>IFERROR(VLOOKUP(C437,Merchants!$A$2:$D$41,4,FALSE), "Merchant Not Fount")</f>
        <v>South</v>
      </c>
      <c r="L437" s="2">
        <f>HLOOKUP(F437,HLOOKUP_Reference!$A$1:$E$2,2,FALSE)</f>
        <v>1.4999999999999999E-2</v>
      </c>
      <c r="M437">
        <f>SUMIFS(Daily_Merchant_Pivot!$E:$E,Daily_Merchant_Pivot!$A:$A,C437,Daily_Merchant_Pivot!$D:$D,INT(D437))</f>
        <v>499</v>
      </c>
      <c r="N437" t="str">
        <f t="shared" si="12"/>
        <v>Normal Merchant Day</v>
      </c>
      <c r="O437" s="7">
        <f t="shared" si="13"/>
        <v>46052</v>
      </c>
    </row>
    <row r="438" spans="1:15" x14ac:dyDescent="0.3">
      <c r="A438" t="s">
        <v>451</v>
      </c>
      <c r="B438">
        <v>330</v>
      </c>
      <c r="C438">
        <v>25</v>
      </c>
      <c r="D438" s="1">
        <v>46038.056944444441</v>
      </c>
      <c r="E438">
        <v>799</v>
      </c>
      <c r="F438" t="s">
        <v>12</v>
      </c>
      <c r="G438" t="s">
        <v>10</v>
      </c>
      <c r="H438">
        <v>100</v>
      </c>
      <c r="I438" t="str">
        <f>IFERROR(VLOOKUP(C438,Merchants!$A$2:$D$41,2,FALSE),"Merchant not found")</f>
        <v>Merchant_025</v>
      </c>
      <c r="J438" t="str">
        <f>IFERROR(VLOOKUP(C438,Merchants!$A$2:$D$41,3,FALSE),"Merchant not found")</f>
        <v>travel</v>
      </c>
      <c r="K438" t="str">
        <f>IFERROR(VLOOKUP(C438,Merchants!$A$2:$D$41,4,FALSE), "Merchant Not Fount")</f>
        <v>South</v>
      </c>
      <c r="L438" s="2">
        <f>HLOOKUP(F438,HLOOKUP_Reference!$A$1:$E$2,2,FALSE)</f>
        <v>2E-3</v>
      </c>
      <c r="M438">
        <f>SUMIFS(Daily_Merchant_Pivot!$E:$E,Daily_Merchant_Pivot!$A:$A,C438,Daily_Merchant_Pivot!$D:$D,INT(D438))</f>
        <v>799</v>
      </c>
      <c r="N438" t="str">
        <f t="shared" si="12"/>
        <v>Normal Merchant Day</v>
      </c>
      <c r="O438" s="7">
        <f t="shared" si="13"/>
        <v>46038</v>
      </c>
    </row>
    <row r="439" spans="1:15" x14ac:dyDescent="0.3">
      <c r="A439" t="s">
        <v>452</v>
      </c>
      <c r="B439">
        <v>214</v>
      </c>
      <c r="C439">
        <v>27</v>
      </c>
      <c r="D439" s="1">
        <v>46039.447222222225</v>
      </c>
      <c r="E439">
        <v>299</v>
      </c>
      <c r="F439" t="s">
        <v>24</v>
      </c>
      <c r="G439" t="s">
        <v>10</v>
      </c>
      <c r="H439">
        <v>19</v>
      </c>
      <c r="I439" t="str">
        <f>IFERROR(VLOOKUP(C439,Merchants!$A$2:$D$41,2,FALSE),"Merchant not found")</f>
        <v>Merchant_027</v>
      </c>
      <c r="J439" t="str">
        <f>IFERROR(VLOOKUP(C439,Merchants!$A$2:$D$41,3,FALSE),"Merchant not found")</f>
        <v>ecommerce</v>
      </c>
      <c r="K439" t="str">
        <f>IFERROR(VLOOKUP(C439,Merchants!$A$2:$D$41,4,FALSE), "Merchant Not Fount")</f>
        <v>North</v>
      </c>
      <c r="L439" s="2">
        <f>HLOOKUP(F439,HLOOKUP_Reference!$A$1:$E$2,2,FALSE)</f>
        <v>1.4999999999999999E-2</v>
      </c>
      <c r="M439">
        <f>SUMIFS(Daily_Merchant_Pivot!$E:$E,Daily_Merchant_Pivot!$A:$A,C439,Daily_Merchant_Pivot!$D:$D,INT(D439))</f>
        <v>1597</v>
      </c>
      <c r="N439" t="str">
        <f t="shared" si="12"/>
        <v>Normal Merchant Day</v>
      </c>
      <c r="O439" s="7">
        <f t="shared" si="13"/>
        <v>46039</v>
      </c>
    </row>
    <row r="440" spans="1:15" x14ac:dyDescent="0.3">
      <c r="A440" t="s">
        <v>453</v>
      </c>
      <c r="B440">
        <v>276</v>
      </c>
      <c r="C440">
        <v>31</v>
      </c>
      <c r="D440" s="1">
        <v>46032.507638888892</v>
      </c>
      <c r="E440">
        <v>499</v>
      </c>
      <c r="F440" t="s">
        <v>12</v>
      </c>
      <c r="G440" t="s">
        <v>10</v>
      </c>
      <c r="H440">
        <v>30</v>
      </c>
      <c r="I440" t="str">
        <f>IFERROR(VLOOKUP(C440,Merchants!$A$2:$D$41,2,FALSE),"Merchant not found")</f>
        <v>Merchant_031</v>
      </c>
      <c r="J440" t="str">
        <f>IFERROR(VLOOKUP(C440,Merchants!$A$2:$D$41,3,FALSE),"Merchant not found")</f>
        <v>bill_payment</v>
      </c>
      <c r="K440" t="str">
        <f>IFERROR(VLOOKUP(C440,Merchants!$A$2:$D$41,4,FALSE), "Merchant Not Fount")</f>
        <v>East</v>
      </c>
      <c r="L440" s="2">
        <f>HLOOKUP(F440,HLOOKUP_Reference!$A$1:$E$2,2,FALSE)</f>
        <v>2E-3</v>
      </c>
      <c r="M440">
        <f>SUMIFS(Daily_Merchant_Pivot!$E:$E,Daily_Merchant_Pivot!$A:$A,C440,Daily_Merchant_Pivot!$D:$D,INT(D440))</f>
        <v>499</v>
      </c>
      <c r="N440" t="str">
        <f t="shared" si="12"/>
        <v>Normal Merchant Day</v>
      </c>
      <c r="O440" s="7">
        <f t="shared" si="13"/>
        <v>46032</v>
      </c>
    </row>
    <row r="441" spans="1:15" x14ac:dyDescent="0.3">
      <c r="A441" t="s">
        <v>454</v>
      </c>
      <c r="B441">
        <v>74</v>
      </c>
      <c r="C441">
        <v>30</v>
      </c>
      <c r="D441" s="1">
        <v>46050.304861111108</v>
      </c>
      <c r="E441">
        <v>49</v>
      </c>
      <c r="F441" t="s">
        <v>12</v>
      </c>
      <c r="G441" t="s">
        <v>10</v>
      </c>
      <c r="H441">
        <v>7</v>
      </c>
      <c r="I441" t="str">
        <f>IFERROR(VLOOKUP(C441,Merchants!$A$2:$D$41,2,FALSE),"Merchant not found")</f>
        <v>Merchant_030</v>
      </c>
      <c r="J441" t="str">
        <f>IFERROR(VLOOKUP(C441,Merchants!$A$2:$D$41,3,FALSE),"Merchant not found")</f>
        <v>travel</v>
      </c>
      <c r="K441" t="str">
        <f>IFERROR(VLOOKUP(C441,Merchants!$A$2:$D$41,4,FALSE), "Merchant Not Fount")</f>
        <v>West</v>
      </c>
      <c r="L441" s="2">
        <f>HLOOKUP(F441,HLOOKUP_Reference!$A$1:$E$2,2,FALSE)</f>
        <v>2E-3</v>
      </c>
      <c r="M441">
        <f>SUMIFS(Daily_Merchant_Pivot!$E:$E,Daily_Merchant_Pivot!$A:$A,C441,Daily_Merchant_Pivot!$D:$D,INT(D441))</f>
        <v>49</v>
      </c>
      <c r="N441" t="str">
        <f t="shared" si="12"/>
        <v>Normal Merchant Day</v>
      </c>
      <c r="O441" s="7">
        <f t="shared" si="13"/>
        <v>46050</v>
      </c>
    </row>
    <row r="442" spans="1:15" x14ac:dyDescent="0.3">
      <c r="A442" t="s">
        <v>455</v>
      </c>
      <c r="B442">
        <v>286</v>
      </c>
      <c r="C442">
        <v>34</v>
      </c>
      <c r="D442" s="1">
        <v>46040.55972222222</v>
      </c>
      <c r="E442">
        <v>49</v>
      </c>
      <c r="F442" t="s">
        <v>24</v>
      </c>
      <c r="G442" t="s">
        <v>10</v>
      </c>
      <c r="H442">
        <v>17</v>
      </c>
      <c r="I442" t="str">
        <f>IFERROR(VLOOKUP(C442,Merchants!$A$2:$D$41,2,FALSE),"Merchant not found")</f>
        <v>Merchant_034</v>
      </c>
      <c r="J442" t="str">
        <f>IFERROR(VLOOKUP(C442,Merchants!$A$2:$D$41,3,FALSE),"Merchant not found")</f>
        <v>travel</v>
      </c>
      <c r="K442" t="str">
        <f>IFERROR(VLOOKUP(C442,Merchants!$A$2:$D$41,4,FALSE), "Merchant Not Fount")</f>
        <v>South</v>
      </c>
      <c r="L442" s="2">
        <f>HLOOKUP(F442,HLOOKUP_Reference!$A$1:$E$2,2,FALSE)</f>
        <v>1.4999999999999999E-2</v>
      </c>
      <c r="M442">
        <f>SUMIFS(Daily_Merchant_Pivot!$E:$E,Daily_Merchant_Pivot!$A:$A,C442,Daily_Merchant_Pivot!$D:$D,INT(D442))</f>
        <v>148</v>
      </c>
      <c r="N442" t="str">
        <f t="shared" si="12"/>
        <v>Normal Merchant Day</v>
      </c>
      <c r="O442" s="7">
        <f t="shared" si="13"/>
        <v>46040</v>
      </c>
    </row>
    <row r="443" spans="1:15" x14ac:dyDescent="0.3">
      <c r="A443" t="s">
        <v>456</v>
      </c>
      <c r="B443">
        <v>105</v>
      </c>
      <c r="C443">
        <v>22</v>
      </c>
      <c r="D443" s="1">
        <v>46035.302777777775</v>
      </c>
      <c r="E443">
        <v>4999</v>
      </c>
      <c r="F443" t="s">
        <v>12</v>
      </c>
      <c r="G443" t="s">
        <v>10</v>
      </c>
      <c r="H443">
        <v>82</v>
      </c>
      <c r="I443" t="str">
        <f>IFERROR(VLOOKUP(C443,Merchants!$A$2:$D$41,2,FALSE),"Merchant not found")</f>
        <v>Merchant_022</v>
      </c>
      <c r="J443" t="str">
        <f>IFERROR(VLOOKUP(C443,Merchants!$A$2:$D$41,3,FALSE),"Merchant not found")</f>
        <v>travel</v>
      </c>
      <c r="K443" t="str">
        <f>IFERROR(VLOOKUP(C443,Merchants!$A$2:$D$41,4,FALSE), "Merchant Not Fount")</f>
        <v>South</v>
      </c>
      <c r="L443" s="2">
        <f>HLOOKUP(F443,HLOOKUP_Reference!$A$1:$E$2,2,FALSE)</f>
        <v>2E-3</v>
      </c>
      <c r="M443">
        <f>SUMIFS(Daily_Merchant_Pivot!$E:$E,Daily_Merchant_Pivot!$A:$A,C443,Daily_Merchant_Pivot!$D:$D,INT(D443))</f>
        <v>5798</v>
      </c>
      <c r="N443" t="str">
        <f t="shared" si="12"/>
        <v>High-Value Merchant Day</v>
      </c>
      <c r="O443" s="7">
        <f t="shared" si="13"/>
        <v>46035</v>
      </c>
    </row>
    <row r="444" spans="1:15" x14ac:dyDescent="0.3">
      <c r="A444" t="s">
        <v>457</v>
      </c>
      <c r="B444">
        <v>190</v>
      </c>
      <c r="C444">
        <v>6</v>
      </c>
      <c r="D444" s="1">
        <v>46025.620833333334</v>
      </c>
      <c r="E444">
        <v>799</v>
      </c>
      <c r="F444" t="s">
        <v>9</v>
      </c>
      <c r="G444" t="s">
        <v>10</v>
      </c>
      <c r="H444">
        <v>68</v>
      </c>
      <c r="I444" t="str">
        <f>IFERROR(VLOOKUP(C444,Merchants!$A$2:$D$41,2,FALSE),"Merchant not found")</f>
        <v>Merchant_006</v>
      </c>
      <c r="J444" t="str">
        <f>IFERROR(VLOOKUP(C444,Merchants!$A$2:$D$41,3,FALSE),"Merchant not found")</f>
        <v>food_delivery</v>
      </c>
      <c r="K444" t="str">
        <f>IFERROR(VLOOKUP(C444,Merchants!$A$2:$D$41,4,FALSE), "Merchant Not Fount")</f>
        <v>South</v>
      </c>
      <c r="L444" s="2">
        <f>HLOOKUP(F444,HLOOKUP_Reference!$A$1:$E$2,2,FALSE)</f>
        <v>6.4999999999999997E-3</v>
      </c>
      <c r="M444">
        <f>SUMIFS(Daily_Merchant_Pivot!$E:$E,Daily_Merchant_Pivot!$A:$A,C444,Daily_Merchant_Pivot!$D:$D,INT(D444))</f>
        <v>799</v>
      </c>
      <c r="N444" t="str">
        <f t="shared" si="12"/>
        <v>Normal Merchant Day</v>
      </c>
      <c r="O444" s="7">
        <f t="shared" si="13"/>
        <v>46025</v>
      </c>
    </row>
    <row r="445" spans="1:15" x14ac:dyDescent="0.3">
      <c r="A445" t="s">
        <v>458</v>
      </c>
      <c r="B445">
        <v>138</v>
      </c>
      <c r="C445">
        <v>25</v>
      </c>
      <c r="D445" s="1">
        <v>46046.252083333333</v>
      </c>
      <c r="E445">
        <v>299</v>
      </c>
      <c r="F445" t="s">
        <v>9</v>
      </c>
      <c r="G445" t="s">
        <v>10</v>
      </c>
      <c r="H445">
        <v>86</v>
      </c>
      <c r="I445" t="str">
        <f>IFERROR(VLOOKUP(C445,Merchants!$A$2:$D$41,2,FALSE),"Merchant not found")</f>
        <v>Merchant_025</v>
      </c>
      <c r="J445" t="str">
        <f>IFERROR(VLOOKUP(C445,Merchants!$A$2:$D$41,3,FALSE),"Merchant not found")</f>
        <v>travel</v>
      </c>
      <c r="K445" t="str">
        <f>IFERROR(VLOOKUP(C445,Merchants!$A$2:$D$41,4,FALSE), "Merchant Not Fount")</f>
        <v>South</v>
      </c>
      <c r="L445" s="2">
        <f>HLOOKUP(F445,HLOOKUP_Reference!$A$1:$E$2,2,FALSE)</f>
        <v>6.4999999999999997E-3</v>
      </c>
      <c r="M445">
        <f>SUMIFS(Daily_Merchant_Pivot!$E:$E,Daily_Merchant_Pivot!$A:$A,C445,Daily_Merchant_Pivot!$D:$D,INT(D445))</f>
        <v>497</v>
      </c>
      <c r="N445" t="str">
        <f t="shared" si="12"/>
        <v>Normal Merchant Day</v>
      </c>
      <c r="O445" s="7">
        <f t="shared" si="13"/>
        <v>46046</v>
      </c>
    </row>
    <row r="446" spans="1:15" x14ac:dyDescent="0.3">
      <c r="A446" t="s">
        <v>459</v>
      </c>
      <c r="B446">
        <v>38</v>
      </c>
      <c r="C446">
        <v>13</v>
      </c>
      <c r="D446" s="1">
        <v>46042.793055555558</v>
      </c>
      <c r="E446">
        <v>4999</v>
      </c>
      <c r="F446" t="s">
        <v>15</v>
      </c>
      <c r="G446" t="s">
        <v>10</v>
      </c>
      <c r="H446">
        <v>97</v>
      </c>
      <c r="I446" t="str">
        <f>IFERROR(VLOOKUP(C446,Merchants!$A$2:$D$41,2,FALSE),"Merchant not found")</f>
        <v>Merchant_013</v>
      </c>
      <c r="J446" t="str">
        <f>IFERROR(VLOOKUP(C446,Merchants!$A$2:$D$41,3,FALSE),"Merchant not found")</f>
        <v>travel</v>
      </c>
      <c r="K446" t="str">
        <f>IFERROR(VLOOKUP(C446,Merchants!$A$2:$D$41,4,FALSE), "Merchant Not Fount")</f>
        <v>East</v>
      </c>
      <c r="L446" s="2">
        <f>HLOOKUP(F446,HLOOKUP_Reference!$A$1:$E$2,2,FALSE)</f>
        <v>0.01</v>
      </c>
      <c r="M446">
        <f>SUMIFS(Daily_Merchant_Pivot!$E:$E,Daily_Merchant_Pivot!$A:$A,C446,Daily_Merchant_Pivot!$D:$D,INT(D446))</f>
        <v>4999</v>
      </c>
      <c r="N446" t="str">
        <f t="shared" si="12"/>
        <v>Normal Merchant Day</v>
      </c>
      <c r="O446" s="7">
        <f t="shared" si="13"/>
        <v>46042</v>
      </c>
    </row>
    <row r="447" spans="1:15" x14ac:dyDescent="0.3">
      <c r="A447" t="s">
        <v>460</v>
      </c>
      <c r="B447">
        <v>287</v>
      </c>
      <c r="C447">
        <v>14</v>
      </c>
      <c r="D447" s="1">
        <v>46041.987500000003</v>
      </c>
      <c r="E447">
        <v>99</v>
      </c>
      <c r="F447" t="s">
        <v>9</v>
      </c>
      <c r="G447" t="s">
        <v>10</v>
      </c>
      <c r="H447">
        <v>61</v>
      </c>
      <c r="I447" t="str">
        <f>IFERROR(VLOOKUP(C447,Merchants!$A$2:$D$41,2,FALSE),"Merchant not found")</f>
        <v>Merchant_014</v>
      </c>
      <c r="J447" t="str">
        <f>IFERROR(VLOOKUP(C447,Merchants!$A$2:$D$41,3,FALSE),"Merchant not found")</f>
        <v>grocery</v>
      </c>
      <c r="K447" t="str">
        <f>IFERROR(VLOOKUP(C447,Merchants!$A$2:$D$41,4,FALSE), "Merchant Not Fount")</f>
        <v>East</v>
      </c>
      <c r="L447" s="2">
        <f>HLOOKUP(F447,HLOOKUP_Reference!$A$1:$E$2,2,FALSE)</f>
        <v>6.4999999999999997E-3</v>
      </c>
      <c r="M447">
        <f>SUMIFS(Daily_Merchant_Pivot!$E:$E,Daily_Merchant_Pivot!$A:$A,C447,Daily_Merchant_Pivot!$D:$D,INT(D447))</f>
        <v>99</v>
      </c>
      <c r="N447" t="str">
        <f t="shared" si="12"/>
        <v>Normal Merchant Day</v>
      </c>
      <c r="O447" s="7">
        <f t="shared" si="13"/>
        <v>46041</v>
      </c>
    </row>
    <row r="448" spans="1:15" x14ac:dyDescent="0.3">
      <c r="A448" t="s">
        <v>461</v>
      </c>
      <c r="B448">
        <v>8</v>
      </c>
      <c r="C448">
        <v>14</v>
      </c>
      <c r="D448" s="1">
        <v>46029.429861111108</v>
      </c>
      <c r="E448">
        <v>49</v>
      </c>
      <c r="F448" t="s">
        <v>12</v>
      </c>
      <c r="G448" t="s">
        <v>10</v>
      </c>
      <c r="H448">
        <v>24</v>
      </c>
      <c r="I448" t="str">
        <f>IFERROR(VLOOKUP(C448,Merchants!$A$2:$D$41,2,FALSE),"Merchant not found")</f>
        <v>Merchant_014</v>
      </c>
      <c r="J448" t="str">
        <f>IFERROR(VLOOKUP(C448,Merchants!$A$2:$D$41,3,FALSE),"Merchant not found")</f>
        <v>grocery</v>
      </c>
      <c r="K448" t="str">
        <f>IFERROR(VLOOKUP(C448,Merchants!$A$2:$D$41,4,FALSE), "Merchant Not Fount")</f>
        <v>East</v>
      </c>
      <c r="L448" s="2">
        <f>HLOOKUP(F448,HLOOKUP_Reference!$A$1:$E$2,2,FALSE)</f>
        <v>2E-3</v>
      </c>
      <c r="M448">
        <f>SUMIFS(Daily_Merchant_Pivot!$E:$E,Daily_Merchant_Pivot!$A:$A,C448,Daily_Merchant_Pivot!$D:$D,INT(D448))</f>
        <v>49</v>
      </c>
      <c r="N448" t="str">
        <f t="shared" si="12"/>
        <v>Normal Merchant Day</v>
      </c>
      <c r="O448" s="7">
        <f t="shared" si="13"/>
        <v>46029</v>
      </c>
    </row>
    <row r="449" spans="1:15" x14ac:dyDescent="0.3">
      <c r="A449" t="s">
        <v>462</v>
      </c>
      <c r="B449">
        <v>246</v>
      </c>
      <c r="C449">
        <v>16</v>
      </c>
      <c r="D449" s="1">
        <v>46046.157638888886</v>
      </c>
      <c r="E449">
        <v>1499</v>
      </c>
      <c r="F449" t="s">
        <v>9</v>
      </c>
      <c r="G449" t="s">
        <v>10</v>
      </c>
      <c r="H449">
        <v>89</v>
      </c>
      <c r="I449" t="str">
        <f>IFERROR(VLOOKUP(C449,Merchants!$A$2:$D$41,2,FALSE),"Merchant not found")</f>
        <v>Merchant_016</v>
      </c>
      <c r="J449" t="str">
        <f>IFERROR(VLOOKUP(C449,Merchants!$A$2:$D$41,3,FALSE),"Merchant not found")</f>
        <v>bill_payment</v>
      </c>
      <c r="K449" t="str">
        <f>IFERROR(VLOOKUP(C449,Merchants!$A$2:$D$41,4,FALSE), "Merchant Not Fount")</f>
        <v>West</v>
      </c>
      <c r="L449" s="2">
        <f>HLOOKUP(F449,HLOOKUP_Reference!$A$1:$E$2,2,FALSE)</f>
        <v>6.4999999999999997E-3</v>
      </c>
      <c r="M449">
        <f>SUMIFS(Daily_Merchant_Pivot!$E:$E,Daily_Merchant_Pivot!$A:$A,C449,Daily_Merchant_Pivot!$D:$D,INT(D449))</f>
        <v>1548</v>
      </c>
      <c r="N449" t="str">
        <f t="shared" si="12"/>
        <v>Normal Merchant Day</v>
      </c>
      <c r="O449" s="7">
        <f t="shared" si="13"/>
        <v>46046</v>
      </c>
    </row>
    <row r="450" spans="1:15" x14ac:dyDescent="0.3">
      <c r="A450" t="s">
        <v>463</v>
      </c>
      <c r="B450">
        <v>204</v>
      </c>
      <c r="C450">
        <v>16</v>
      </c>
      <c r="D450" s="1">
        <v>46042.925694444442</v>
      </c>
      <c r="E450">
        <v>149</v>
      </c>
      <c r="F450" t="s">
        <v>12</v>
      </c>
      <c r="G450" t="s">
        <v>10</v>
      </c>
      <c r="H450">
        <v>70</v>
      </c>
      <c r="I450" t="str">
        <f>IFERROR(VLOOKUP(C450,Merchants!$A$2:$D$41,2,FALSE),"Merchant not found")</f>
        <v>Merchant_016</v>
      </c>
      <c r="J450" t="str">
        <f>IFERROR(VLOOKUP(C450,Merchants!$A$2:$D$41,3,FALSE),"Merchant not found")</f>
        <v>bill_payment</v>
      </c>
      <c r="K450" t="str">
        <f>IFERROR(VLOOKUP(C450,Merchants!$A$2:$D$41,4,FALSE), "Merchant Not Fount")</f>
        <v>West</v>
      </c>
      <c r="L450" s="2">
        <f>HLOOKUP(F450,HLOOKUP_Reference!$A$1:$E$2,2,FALSE)</f>
        <v>2E-3</v>
      </c>
      <c r="M450">
        <f>SUMIFS(Daily_Merchant_Pivot!$E:$E,Daily_Merchant_Pivot!$A:$A,C450,Daily_Merchant_Pivot!$D:$D,INT(D450))</f>
        <v>448</v>
      </c>
      <c r="N450" t="str">
        <f t="shared" si="12"/>
        <v>Normal Merchant Day</v>
      </c>
      <c r="O450" s="7">
        <f t="shared" si="13"/>
        <v>46042</v>
      </c>
    </row>
    <row r="451" spans="1:15" x14ac:dyDescent="0.3">
      <c r="A451" t="s">
        <v>464</v>
      </c>
      <c r="B451">
        <v>239</v>
      </c>
      <c r="C451">
        <v>35</v>
      </c>
      <c r="D451" s="1">
        <v>46033.39166666667</v>
      </c>
      <c r="E451">
        <v>4999</v>
      </c>
      <c r="F451" t="s">
        <v>12</v>
      </c>
      <c r="G451" t="s">
        <v>10</v>
      </c>
      <c r="H451">
        <v>83</v>
      </c>
      <c r="I451" t="str">
        <f>IFERROR(VLOOKUP(C451,Merchants!$A$2:$D$41,2,FALSE),"Merchant not found")</f>
        <v>Merchant_035</v>
      </c>
      <c r="J451" t="str">
        <f>IFERROR(VLOOKUP(C451,Merchants!$A$2:$D$41,3,FALSE),"Merchant not found")</f>
        <v>recharge</v>
      </c>
      <c r="K451" t="str">
        <f>IFERROR(VLOOKUP(C451,Merchants!$A$2:$D$41,4,FALSE), "Merchant Not Fount")</f>
        <v>East</v>
      </c>
      <c r="L451" s="2">
        <f>HLOOKUP(F451,HLOOKUP_Reference!$A$1:$E$2,2,FALSE)</f>
        <v>2E-3</v>
      </c>
      <c r="M451">
        <f>SUMIFS(Daily_Merchant_Pivot!$E:$E,Daily_Merchant_Pivot!$A:$A,C451,Daily_Merchant_Pivot!$D:$D,INT(D451))</f>
        <v>4999</v>
      </c>
      <c r="N451" t="str">
        <f t="shared" ref="N451:N514" si="14">IF(AND(M451&gt;5000,K451&lt;&gt;"East"),"High-Value Merchant Day","Normal Merchant Day")</f>
        <v>Normal Merchant Day</v>
      </c>
      <c r="O451" s="7">
        <f t="shared" ref="O451:O514" si="15">INT(D451)</f>
        <v>46033</v>
      </c>
    </row>
    <row r="452" spans="1:15" x14ac:dyDescent="0.3">
      <c r="A452" t="s">
        <v>465</v>
      </c>
      <c r="B452">
        <v>185</v>
      </c>
      <c r="C452">
        <v>33</v>
      </c>
      <c r="D452" s="1">
        <v>46034.386111111111</v>
      </c>
      <c r="E452">
        <v>299</v>
      </c>
      <c r="F452" t="s">
        <v>12</v>
      </c>
      <c r="G452" t="s">
        <v>10</v>
      </c>
      <c r="H452">
        <v>63</v>
      </c>
      <c r="I452" t="str">
        <f>IFERROR(VLOOKUP(C452,Merchants!$A$2:$D$41,2,FALSE),"Merchant not found")</f>
        <v>Merchant_033</v>
      </c>
      <c r="J452" t="str">
        <f>IFERROR(VLOOKUP(C452,Merchants!$A$2:$D$41,3,FALSE),"Merchant not found")</f>
        <v>bill_payment</v>
      </c>
      <c r="K452" t="str">
        <f>IFERROR(VLOOKUP(C452,Merchants!$A$2:$D$41,4,FALSE), "Merchant Not Fount")</f>
        <v>East</v>
      </c>
      <c r="L452" s="2">
        <f>HLOOKUP(F452,HLOOKUP_Reference!$A$1:$E$2,2,FALSE)</f>
        <v>2E-3</v>
      </c>
      <c r="M452">
        <f>SUMIFS(Daily_Merchant_Pivot!$E:$E,Daily_Merchant_Pivot!$A:$A,C452,Daily_Merchant_Pivot!$D:$D,INT(D452))</f>
        <v>299</v>
      </c>
      <c r="N452" t="str">
        <f t="shared" si="14"/>
        <v>Normal Merchant Day</v>
      </c>
      <c r="O452" s="7">
        <f t="shared" si="15"/>
        <v>46034</v>
      </c>
    </row>
    <row r="453" spans="1:15" x14ac:dyDescent="0.3">
      <c r="A453" t="s">
        <v>466</v>
      </c>
      <c r="B453">
        <v>241</v>
      </c>
      <c r="C453">
        <v>21</v>
      </c>
      <c r="D453" s="1">
        <v>46037.160416666666</v>
      </c>
      <c r="E453">
        <v>299</v>
      </c>
      <c r="F453" t="s">
        <v>24</v>
      </c>
      <c r="G453" t="s">
        <v>10</v>
      </c>
      <c r="H453">
        <v>26</v>
      </c>
      <c r="I453" t="str">
        <f>IFERROR(VLOOKUP(C453,Merchants!$A$2:$D$41,2,FALSE),"Merchant not found")</f>
        <v>Merchant_021</v>
      </c>
      <c r="J453" t="str">
        <f>IFERROR(VLOOKUP(C453,Merchants!$A$2:$D$41,3,FALSE),"Merchant not found")</f>
        <v>food_delivery</v>
      </c>
      <c r="K453" t="str">
        <f>IFERROR(VLOOKUP(C453,Merchants!$A$2:$D$41,4,FALSE), "Merchant Not Fount")</f>
        <v>East</v>
      </c>
      <c r="L453" s="2">
        <f>HLOOKUP(F453,HLOOKUP_Reference!$A$1:$E$2,2,FALSE)</f>
        <v>1.4999999999999999E-2</v>
      </c>
      <c r="M453">
        <f>SUMIFS(Daily_Merchant_Pivot!$E:$E,Daily_Merchant_Pivot!$A:$A,C453,Daily_Merchant_Pivot!$D:$D,INT(D453))</f>
        <v>299</v>
      </c>
      <c r="N453" t="str">
        <f t="shared" si="14"/>
        <v>Normal Merchant Day</v>
      </c>
      <c r="O453" s="7">
        <f t="shared" si="15"/>
        <v>46037</v>
      </c>
    </row>
    <row r="454" spans="1:15" x14ac:dyDescent="0.3">
      <c r="A454" t="s">
        <v>467</v>
      </c>
      <c r="B454">
        <v>24</v>
      </c>
      <c r="C454">
        <v>37</v>
      </c>
      <c r="D454" s="1">
        <v>46034.43472222222</v>
      </c>
      <c r="E454">
        <v>149</v>
      </c>
      <c r="F454" t="s">
        <v>12</v>
      </c>
      <c r="G454" t="s">
        <v>10</v>
      </c>
      <c r="H454">
        <v>28</v>
      </c>
      <c r="I454" t="str">
        <f>IFERROR(VLOOKUP(C454,Merchants!$A$2:$D$41,2,FALSE),"Merchant not found")</f>
        <v>Merchant_037</v>
      </c>
      <c r="J454" t="str">
        <f>IFERROR(VLOOKUP(C454,Merchants!$A$2:$D$41,3,FALSE),"Merchant not found")</f>
        <v>entertainment</v>
      </c>
      <c r="K454" t="str">
        <f>IFERROR(VLOOKUP(C454,Merchants!$A$2:$D$41,4,FALSE), "Merchant Not Fount")</f>
        <v>South</v>
      </c>
      <c r="L454" s="2">
        <f>HLOOKUP(F454,HLOOKUP_Reference!$A$1:$E$2,2,FALSE)</f>
        <v>2E-3</v>
      </c>
      <c r="M454">
        <f>SUMIFS(Daily_Merchant_Pivot!$E:$E,Daily_Merchant_Pivot!$A:$A,C454,Daily_Merchant_Pivot!$D:$D,INT(D454))</f>
        <v>149</v>
      </c>
      <c r="N454" t="str">
        <f t="shared" si="14"/>
        <v>Normal Merchant Day</v>
      </c>
      <c r="O454" s="7">
        <f t="shared" si="15"/>
        <v>46034</v>
      </c>
    </row>
    <row r="455" spans="1:15" x14ac:dyDescent="0.3">
      <c r="A455" t="s">
        <v>468</v>
      </c>
      <c r="B455">
        <v>134</v>
      </c>
      <c r="C455">
        <v>36</v>
      </c>
      <c r="D455" s="1">
        <v>46046.167361111111</v>
      </c>
      <c r="E455">
        <v>1499</v>
      </c>
      <c r="F455" t="s">
        <v>12</v>
      </c>
      <c r="G455" t="s">
        <v>10</v>
      </c>
      <c r="H455">
        <v>74</v>
      </c>
      <c r="I455" t="str">
        <f>IFERROR(VLOOKUP(C455,Merchants!$A$2:$D$41,2,FALSE),"Merchant not found")</f>
        <v>Merchant_036</v>
      </c>
      <c r="J455" t="str">
        <f>IFERROR(VLOOKUP(C455,Merchants!$A$2:$D$41,3,FALSE),"Merchant not found")</f>
        <v>entertainment</v>
      </c>
      <c r="K455" t="str">
        <f>IFERROR(VLOOKUP(C455,Merchants!$A$2:$D$41,4,FALSE), "Merchant Not Fount")</f>
        <v>East</v>
      </c>
      <c r="L455" s="2">
        <f>HLOOKUP(F455,HLOOKUP_Reference!$A$1:$E$2,2,FALSE)</f>
        <v>2E-3</v>
      </c>
      <c r="M455">
        <f>SUMIFS(Daily_Merchant_Pivot!$E:$E,Daily_Merchant_Pivot!$A:$A,C455,Daily_Merchant_Pivot!$D:$D,INT(D455))</f>
        <v>1647</v>
      </c>
      <c r="N455" t="str">
        <f t="shared" si="14"/>
        <v>Normal Merchant Day</v>
      </c>
      <c r="O455" s="7">
        <f t="shared" si="15"/>
        <v>46046</v>
      </c>
    </row>
    <row r="456" spans="1:15" x14ac:dyDescent="0.3">
      <c r="A456" t="s">
        <v>469</v>
      </c>
      <c r="B456">
        <v>152</v>
      </c>
      <c r="C456">
        <v>10</v>
      </c>
      <c r="D456" s="1">
        <v>46041.976388888892</v>
      </c>
      <c r="E456">
        <v>499</v>
      </c>
      <c r="F456" t="s">
        <v>9</v>
      </c>
      <c r="G456" t="s">
        <v>10</v>
      </c>
      <c r="H456">
        <v>25</v>
      </c>
      <c r="I456" t="str">
        <f>IFERROR(VLOOKUP(C456,Merchants!$A$2:$D$41,2,FALSE),"Merchant not found")</f>
        <v>Merchant_010</v>
      </c>
      <c r="J456" t="str">
        <f>IFERROR(VLOOKUP(C456,Merchants!$A$2:$D$41,3,FALSE),"Merchant not found")</f>
        <v>grocery</v>
      </c>
      <c r="K456" t="str">
        <f>IFERROR(VLOOKUP(C456,Merchants!$A$2:$D$41,4,FALSE), "Merchant Not Fount")</f>
        <v>West</v>
      </c>
      <c r="L456" s="2">
        <f>HLOOKUP(F456,HLOOKUP_Reference!$A$1:$E$2,2,FALSE)</f>
        <v>6.4999999999999997E-3</v>
      </c>
      <c r="M456">
        <f>SUMIFS(Daily_Merchant_Pivot!$E:$E,Daily_Merchant_Pivot!$A:$A,C456,Daily_Merchant_Pivot!$D:$D,INT(D456))</f>
        <v>499</v>
      </c>
      <c r="N456" t="str">
        <f t="shared" si="14"/>
        <v>Normal Merchant Day</v>
      </c>
      <c r="O456" s="7">
        <f t="shared" si="15"/>
        <v>46041</v>
      </c>
    </row>
    <row r="457" spans="1:15" x14ac:dyDescent="0.3">
      <c r="A457" t="s">
        <v>470</v>
      </c>
      <c r="B457">
        <v>292</v>
      </c>
      <c r="C457">
        <v>16</v>
      </c>
      <c r="D457" s="1">
        <v>46033.308333333334</v>
      </c>
      <c r="E457">
        <v>499</v>
      </c>
      <c r="F457" t="s">
        <v>15</v>
      </c>
      <c r="G457" t="s">
        <v>10</v>
      </c>
      <c r="H457">
        <v>63</v>
      </c>
      <c r="I457" t="str">
        <f>IFERROR(VLOOKUP(C457,Merchants!$A$2:$D$41,2,FALSE),"Merchant not found")</f>
        <v>Merchant_016</v>
      </c>
      <c r="J457" t="str">
        <f>IFERROR(VLOOKUP(C457,Merchants!$A$2:$D$41,3,FALSE),"Merchant not found")</f>
        <v>bill_payment</v>
      </c>
      <c r="K457" t="str">
        <f>IFERROR(VLOOKUP(C457,Merchants!$A$2:$D$41,4,FALSE), "Merchant Not Fount")</f>
        <v>West</v>
      </c>
      <c r="L457" s="2">
        <f>HLOOKUP(F457,HLOOKUP_Reference!$A$1:$E$2,2,FALSE)</f>
        <v>0.01</v>
      </c>
      <c r="M457">
        <f>SUMIFS(Daily_Merchant_Pivot!$E:$E,Daily_Merchant_Pivot!$A:$A,C457,Daily_Merchant_Pivot!$D:$D,INT(D457))</f>
        <v>499</v>
      </c>
      <c r="N457" t="str">
        <f t="shared" si="14"/>
        <v>Normal Merchant Day</v>
      </c>
      <c r="O457" s="7">
        <f t="shared" si="15"/>
        <v>46033</v>
      </c>
    </row>
    <row r="458" spans="1:15" x14ac:dyDescent="0.3">
      <c r="A458" t="s">
        <v>471</v>
      </c>
      <c r="B458">
        <v>173</v>
      </c>
      <c r="C458">
        <v>17</v>
      </c>
      <c r="D458" s="1">
        <v>46040.863194444442</v>
      </c>
      <c r="E458">
        <v>99</v>
      </c>
      <c r="F458" t="s">
        <v>15</v>
      </c>
      <c r="G458" t="s">
        <v>10</v>
      </c>
      <c r="H458">
        <v>97</v>
      </c>
      <c r="I458" t="str">
        <f>IFERROR(VLOOKUP(C458,Merchants!$A$2:$D$41,2,FALSE),"Merchant not found")</f>
        <v>Merchant_017</v>
      </c>
      <c r="J458" t="str">
        <f>IFERROR(VLOOKUP(C458,Merchants!$A$2:$D$41,3,FALSE),"Merchant not found")</f>
        <v>grocery</v>
      </c>
      <c r="K458" t="str">
        <f>IFERROR(VLOOKUP(C458,Merchants!$A$2:$D$41,4,FALSE), "Merchant Not Fount")</f>
        <v>North</v>
      </c>
      <c r="L458" s="2">
        <f>HLOOKUP(F458,HLOOKUP_Reference!$A$1:$E$2,2,FALSE)</f>
        <v>0.01</v>
      </c>
      <c r="M458">
        <f>SUMIFS(Daily_Merchant_Pivot!$E:$E,Daily_Merchant_Pivot!$A:$A,C458,Daily_Merchant_Pivot!$D:$D,INT(D458))</f>
        <v>198</v>
      </c>
      <c r="N458" t="str">
        <f t="shared" si="14"/>
        <v>Normal Merchant Day</v>
      </c>
      <c r="O458" s="7">
        <f t="shared" si="15"/>
        <v>46040</v>
      </c>
    </row>
    <row r="459" spans="1:15" x14ac:dyDescent="0.3">
      <c r="A459" t="s">
        <v>472</v>
      </c>
      <c r="B459">
        <v>329</v>
      </c>
      <c r="C459">
        <v>32</v>
      </c>
      <c r="D459" s="1">
        <v>46049.656944444447</v>
      </c>
      <c r="E459">
        <v>1499</v>
      </c>
      <c r="F459" t="s">
        <v>12</v>
      </c>
      <c r="G459" t="s">
        <v>10</v>
      </c>
      <c r="H459">
        <v>58</v>
      </c>
      <c r="I459" t="str">
        <f>IFERROR(VLOOKUP(C459,Merchants!$A$2:$D$41,2,FALSE),"Merchant not found")</f>
        <v>Merchant_032</v>
      </c>
      <c r="J459" t="str">
        <f>IFERROR(VLOOKUP(C459,Merchants!$A$2:$D$41,3,FALSE),"Merchant not found")</f>
        <v>food_delivery</v>
      </c>
      <c r="K459" t="str">
        <f>IFERROR(VLOOKUP(C459,Merchants!$A$2:$D$41,4,FALSE), "Merchant Not Fount")</f>
        <v>West</v>
      </c>
      <c r="L459" s="2">
        <f>HLOOKUP(F459,HLOOKUP_Reference!$A$1:$E$2,2,FALSE)</f>
        <v>2E-3</v>
      </c>
      <c r="M459">
        <f>SUMIFS(Daily_Merchant_Pivot!$E:$E,Daily_Merchant_Pivot!$A:$A,C459,Daily_Merchant_Pivot!$D:$D,INT(D459))</f>
        <v>1499</v>
      </c>
      <c r="N459" t="str">
        <f t="shared" si="14"/>
        <v>Normal Merchant Day</v>
      </c>
      <c r="O459" s="7">
        <f t="shared" si="15"/>
        <v>46049</v>
      </c>
    </row>
    <row r="460" spans="1:15" x14ac:dyDescent="0.3">
      <c r="A460" t="s">
        <v>473</v>
      </c>
      <c r="B460">
        <v>181</v>
      </c>
      <c r="C460">
        <v>11</v>
      </c>
      <c r="D460" s="1">
        <v>46028.993055555555</v>
      </c>
      <c r="E460">
        <v>1499</v>
      </c>
      <c r="F460" t="s">
        <v>12</v>
      </c>
      <c r="G460" t="s">
        <v>10</v>
      </c>
      <c r="H460">
        <v>17</v>
      </c>
      <c r="I460" t="str">
        <f>IFERROR(VLOOKUP(C460,Merchants!$A$2:$D$41,2,FALSE),"Merchant not found")</f>
        <v>Merchant_011</v>
      </c>
      <c r="J460" t="str">
        <f>IFERROR(VLOOKUP(C460,Merchants!$A$2:$D$41,3,FALSE),"Merchant not found")</f>
        <v>ecommerce</v>
      </c>
      <c r="K460" t="str">
        <f>IFERROR(VLOOKUP(C460,Merchants!$A$2:$D$41,4,FALSE), "Merchant Not Fount")</f>
        <v>North</v>
      </c>
      <c r="L460" s="2">
        <f>HLOOKUP(F460,HLOOKUP_Reference!$A$1:$E$2,2,FALSE)</f>
        <v>2E-3</v>
      </c>
      <c r="M460">
        <f>SUMIFS(Daily_Merchant_Pivot!$E:$E,Daily_Merchant_Pivot!$A:$A,C460,Daily_Merchant_Pivot!$D:$D,INT(D460))</f>
        <v>1499</v>
      </c>
      <c r="N460" t="str">
        <f t="shared" si="14"/>
        <v>Normal Merchant Day</v>
      </c>
      <c r="O460" s="7">
        <f t="shared" si="15"/>
        <v>46028</v>
      </c>
    </row>
    <row r="461" spans="1:15" x14ac:dyDescent="0.3">
      <c r="A461" t="s">
        <v>474</v>
      </c>
      <c r="B461">
        <v>95</v>
      </c>
      <c r="C461">
        <v>35</v>
      </c>
      <c r="D461" s="1">
        <v>46046.729861111111</v>
      </c>
      <c r="E461">
        <v>149</v>
      </c>
      <c r="F461" t="s">
        <v>9</v>
      </c>
      <c r="G461" t="s">
        <v>10</v>
      </c>
      <c r="H461">
        <v>82</v>
      </c>
      <c r="I461" t="str">
        <f>IFERROR(VLOOKUP(C461,Merchants!$A$2:$D$41,2,FALSE),"Merchant not found")</f>
        <v>Merchant_035</v>
      </c>
      <c r="J461" t="str">
        <f>IFERROR(VLOOKUP(C461,Merchants!$A$2:$D$41,3,FALSE),"Merchant not found")</f>
        <v>recharge</v>
      </c>
      <c r="K461" t="str">
        <f>IFERROR(VLOOKUP(C461,Merchants!$A$2:$D$41,4,FALSE), "Merchant Not Fount")</f>
        <v>East</v>
      </c>
      <c r="L461" s="2">
        <f>HLOOKUP(F461,HLOOKUP_Reference!$A$1:$E$2,2,FALSE)</f>
        <v>6.4999999999999997E-3</v>
      </c>
      <c r="M461">
        <f>SUMIFS(Daily_Merchant_Pivot!$E:$E,Daily_Merchant_Pivot!$A:$A,C461,Daily_Merchant_Pivot!$D:$D,INT(D461))</f>
        <v>149</v>
      </c>
      <c r="N461" t="str">
        <f t="shared" si="14"/>
        <v>Normal Merchant Day</v>
      </c>
      <c r="O461" s="7">
        <f t="shared" si="15"/>
        <v>46046</v>
      </c>
    </row>
    <row r="462" spans="1:15" x14ac:dyDescent="0.3">
      <c r="A462" t="s">
        <v>475</v>
      </c>
      <c r="B462">
        <v>39</v>
      </c>
      <c r="C462">
        <v>4</v>
      </c>
      <c r="D462" s="1">
        <v>46024.668055555558</v>
      </c>
      <c r="E462">
        <v>149</v>
      </c>
      <c r="F462" t="s">
        <v>15</v>
      </c>
      <c r="G462" t="s">
        <v>10</v>
      </c>
      <c r="H462">
        <v>97</v>
      </c>
      <c r="I462" t="str">
        <f>IFERROR(VLOOKUP(C462,Merchants!$A$2:$D$41,2,FALSE),"Merchant not found")</f>
        <v>Merchant_004</v>
      </c>
      <c r="J462" t="str">
        <f>IFERROR(VLOOKUP(C462,Merchants!$A$2:$D$41,3,FALSE),"Merchant not found")</f>
        <v>ecommerce</v>
      </c>
      <c r="K462" t="str">
        <f>IFERROR(VLOOKUP(C462,Merchants!$A$2:$D$41,4,FALSE), "Merchant Not Fount")</f>
        <v>East</v>
      </c>
      <c r="L462" s="2">
        <f>HLOOKUP(F462,HLOOKUP_Reference!$A$1:$E$2,2,FALSE)</f>
        <v>0.01</v>
      </c>
      <c r="M462">
        <f>SUMIFS(Daily_Merchant_Pivot!$E:$E,Daily_Merchant_Pivot!$A:$A,C462,Daily_Merchant_Pivot!$D:$D,INT(D462))</f>
        <v>149</v>
      </c>
      <c r="N462" t="str">
        <f t="shared" si="14"/>
        <v>Normal Merchant Day</v>
      </c>
      <c r="O462" s="7">
        <f t="shared" si="15"/>
        <v>46024</v>
      </c>
    </row>
    <row r="463" spans="1:15" x14ac:dyDescent="0.3">
      <c r="A463" t="s">
        <v>476</v>
      </c>
      <c r="B463">
        <v>323</v>
      </c>
      <c r="C463">
        <v>15</v>
      </c>
      <c r="D463" s="1">
        <v>46023.547222222223</v>
      </c>
      <c r="E463">
        <v>499</v>
      </c>
      <c r="F463" t="s">
        <v>12</v>
      </c>
      <c r="G463" t="s">
        <v>10</v>
      </c>
      <c r="H463">
        <v>8</v>
      </c>
      <c r="I463" t="str">
        <f>IFERROR(VLOOKUP(C463,Merchants!$A$2:$D$41,2,FALSE),"Merchant not found")</f>
        <v>Merchant_015</v>
      </c>
      <c r="J463" t="str">
        <f>IFERROR(VLOOKUP(C463,Merchants!$A$2:$D$41,3,FALSE),"Merchant not found")</f>
        <v>travel</v>
      </c>
      <c r="K463" t="str">
        <f>IFERROR(VLOOKUP(C463,Merchants!$A$2:$D$41,4,FALSE), "Merchant Not Fount")</f>
        <v>North</v>
      </c>
      <c r="L463" s="2">
        <f>HLOOKUP(F463,HLOOKUP_Reference!$A$1:$E$2,2,FALSE)</f>
        <v>2E-3</v>
      </c>
      <c r="M463">
        <f>SUMIFS(Daily_Merchant_Pivot!$E:$E,Daily_Merchant_Pivot!$A:$A,C463,Daily_Merchant_Pivot!$D:$D,INT(D463))</f>
        <v>499</v>
      </c>
      <c r="N463" t="str">
        <f t="shared" si="14"/>
        <v>Normal Merchant Day</v>
      </c>
      <c r="O463" s="7">
        <f t="shared" si="15"/>
        <v>46023</v>
      </c>
    </row>
    <row r="464" spans="1:15" x14ac:dyDescent="0.3">
      <c r="A464" t="s">
        <v>477</v>
      </c>
      <c r="B464">
        <v>112</v>
      </c>
      <c r="C464">
        <v>33</v>
      </c>
      <c r="D464" s="1">
        <v>46045.166666666664</v>
      </c>
      <c r="E464">
        <v>49</v>
      </c>
      <c r="F464" t="s">
        <v>15</v>
      </c>
      <c r="G464" t="s">
        <v>10</v>
      </c>
      <c r="H464">
        <v>58</v>
      </c>
      <c r="I464" t="str">
        <f>IFERROR(VLOOKUP(C464,Merchants!$A$2:$D$41,2,FALSE),"Merchant not found")</f>
        <v>Merchant_033</v>
      </c>
      <c r="J464" t="str">
        <f>IFERROR(VLOOKUP(C464,Merchants!$A$2:$D$41,3,FALSE),"Merchant not found")</f>
        <v>bill_payment</v>
      </c>
      <c r="K464" t="str">
        <f>IFERROR(VLOOKUP(C464,Merchants!$A$2:$D$41,4,FALSE), "Merchant Not Fount")</f>
        <v>East</v>
      </c>
      <c r="L464" s="2">
        <f>HLOOKUP(F464,HLOOKUP_Reference!$A$1:$E$2,2,FALSE)</f>
        <v>0.01</v>
      </c>
      <c r="M464">
        <f>SUMIFS(Daily_Merchant_Pivot!$E:$E,Daily_Merchant_Pivot!$A:$A,C464,Daily_Merchant_Pivot!$D:$D,INT(D464))</f>
        <v>49</v>
      </c>
      <c r="N464" t="str">
        <f t="shared" si="14"/>
        <v>Normal Merchant Day</v>
      </c>
      <c r="O464" s="7">
        <f t="shared" si="15"/>
        <v>46045</v>
      </c>
    </row>
    <row r="465" spans="1:15" x14ac:dyDescent="0.3">
      <c r="A465" t="s">
        <v>478</v>
      </c>
      <c r="B465">
        <v>327</v>
      </c>
      <c r="C465">
        <v>40</v>
      </c>
      <c r="D465" s="1">
        <v>46034.068749999999</v>
      </c>
      <c r="E465">
        <v>99</v>
      </c>
      <c r="F465" t="s">
        <v>12</v>
      </c>
      <c r="G465" t="s">
        <v>10</v>
      </c>
      <c r="H465">
        <v>61</v>
      </c>
      <c r="I465" t="str">
        <f>IFERROR(VLOOKUP(C465,Merchants!$A$2:$D$41,2,FALSE),"Merchant not found")</f>
        <v>Merchant_040</v>
      </c>
      <c r="J465" t="str">
        <f>IFERROR(VLOOKUP(C465,Merchants!$A$2:$D$41,3,FALSE),"Merchant not found")</f>
        <v>entertainment</v>
      </c>
      <c r="K465" t="str">
        <f>IFERROR(VLOOKUP(C465,Merchants!$A$2:$D$41,4,FALSE), "Merchant Not Fount")</f>
        <v>South</v>
      </c>
      <c r="L465" s="2">
        <f>HLOOKUP(F465,HLOOKUP_Reference!$A$1:$E$2,2,FALSE)</f>
        <v>2E-3</v>
      </c>
      <c r="M465">
        <f>SUMIFS(Daily_Merchant_Pivot!$E:$E,Daily_Merchant_Pivot!$A:$A,C465,Daily_Merchant_Pivot!$D:$D,INT(D465))</f>
        <v>99</v>
      </c>
      <c r="N465" t="str">
        <f t="shared" si="14"/>
        <v>Normal Merchant Day</v>
      </c>
      <c r="O465" s="7">
        <f t="shared" si="15"/>
        <v>46034</v>
      </c>
    </row>
    <row r="466" spans="1:15" x14ac:dyDescent="0.3">
      <c r="A466" t="s">
        <v>479</v>
      </c>
      <c r="B466">
        <v>4</v>
      </c>
      <c r="C466">
        <v>35</v>
      </c>
      <c r="D466" s="1">
        <v>46044.625694444447</v>
      </c>
      <c r="E466">
        <v>299</v>
      </c>
      <c r="F466" t="s">
        <v>12</v>
      </c>
      <c r="G466" t="s">
        <v>10</v>
      </c>
      <c r="H466">
        <v>70</v>
      </c>
      <c r="I466" t="str">
        <f>IFERROR(VLOOKUP(C466,Merchants!$A$2:$D$41,2,FALSE),"Merchant not found")</f>
        <v>Merchant_035</v>
      </c>
      <c r="J466" t="str">
        <f>IFERROR(VLOOKUP(C466,Merchants!$A$2:$D$41,3,FALSE),"Merchant not found")</f>
        <v>recharge</v>
      </c>
      <c r="K466" t="str">
        <f>IFERROR(VLOOKUP(C466,Merchants!$A$2:$D$41,4,FALSE), "Merchant Not Fount")</f>
        <v>East</v>
      </c>
      <c r="L466" s="2">
        <f>HLOOKUP(F466,HLOOKUP_Reference!$A$1:$E$2,2,FALSE)</f>
        <v>2E-3</v>
      </c>
      <c r="M466">
        <f>SUMIFS(Daily_Merchant_Pivot!$E:$E,Daily_Merchant_Pivot!$A:$A,C466,Daily_Merchant_Pivot!$D:$D,INT(D466))</f>
        <v>299</v>
      </c>
      <c r="N466" t="str">
        <f t="shared" si="14"/>
        <v>Normal Merchant Day</v>
      </c>
      <c r="O466" s="7">
        <f t="shared" si="15"/>
        <v>46044</v>
      </c>
    </row>
    <row r="467" spans="1:15" x14ac:dyDescent="0.3">
      <c r="A467" t="s">
        <v>480</v>
      </c>
      <c r="B467">
        <v>272</v>
      </c>
      <c r="C467">
        <v>18</v>
      </c>
      <c r="D467" s="1">
        <v>46036.000694444447</v>
      </c>
      <c r="E467">
        <v>149</v>
      </c>
      <c r="F467" t="s">
        <v>12</v>
      </c>
      <c r="G467" t="s">
        <v>10</v>
      </c>
      <c r="H467">
        <v>68</v>
      </c>
      <c r="I467" t="str">
        <f>IFERROR(VLOOKUP(C467,Merchants!$A$2:$D$41,2,FALSE),"Merchant not found")</f>
        <v>Merchant_018</v>
      </c>
      <c r="J467" t="str">
        <f>IFERROR(VLOOKUP(C467,Merchants!$A$2:$D$41,3,FALSE),"Merchant not found")</f>
        <v>grocery</v>
      </c>
      <c r="K467" t="str">
        <f>IFERROR(VLOOKUP(C467,Merchants!$A$2:$D$41,4,FALSE), "Merchant Not Fount")</f>
        <v>West</v>
      </c>
      <c r="L467" s="2">
        <f>HLOOKUP(F467,HLOOKUP_Reference!$A$1:$E$2,2,FALSE)</f>
        <v>2E-3</v>
      </c>
      <c r="M467">
        <f>SUMIFS(Daily_Merchant_Pivot!$E:$E,Daily_Merchant_Pivot!$A:$A,C467,Daily_Merchant_Pivot!$D:$D,INT(D467))</f>
        <v>149</v>
      </c>
      <c r="N467" t="str">
        <f t="shared" si="14"/>
        <v>Normal Merchant Day</v>
      </c>
      <c r="O467" s="7">
        <f t="shared" si="15"/>
        <v>46036</v>
      </c>
    </row>
    <row r="468" spans="1:15" x14ac:dyDescent="0.3">
      <c r="A468" t="s">
        <v>481</v>
      </c>
      <c r="B468">
        <v>346</v>
      </c>
      <c r="C468">
        <v>28</v>
      </c>
      <c r="D468" s="1">
        <v>46032.022222222222</v>
      </c>
      <c r="E468">
        <v>499</v>
      </c>
      <c r="F468" t="s">
        <v>12</v>
      </c>
      <c r="G468" t="s">
        <v>10</v>
      </c>
      <c r="H468">
        <v>22</v>
      </c>
      <c r="I468" t="str">
        <f>IFERROR(VLOOKUP(C468,Merchants!$A$2:$D$41,2,FALSE),"Merchant not found")</f>
        <v>Merchant_028</v>
      </c>
      <c r="J468" t="str">
        <f>IFERROR(VLOOKUP(C468,Merchants!$A$2:$D$41,3,FALSE),"Merchant not found")</f>
        <v>ecommerce</v>
      </c>
      <c r="K468" t="str">
        <f>IFERROR(VLOOKUP(C468,Merchants!$A$2:$D$41,4,FALSE), "Merchant Not Fount")</f>
        <v>South</v>
      </c>
      <c r="L468" s="2">
        <f>HLOOKUP(F468,HLOOKUP_Reference!$A$1:$E$2,2,FALSE)</f>
        <v>2E-3</v>
      </c>
      <c r="M468">
        <f>SUMIFS(Daily_Merchant_Pivot!$E:$E,Daily_Merchant_Pivot!$A:$A,C468,Daily_Merchant_Pivot!$D:$D,INT(D468))</f>
        <v>499</v>
      </c>
      <c r="N468" t="str">
        <f t="shared" si="14"/>
        <v>Normal Merchant Day</v>
      </c>
      <c r="O468" s="7">
        <f t="shared" si="15"/>
        <v>46032</v>
      </c>
    </row>
    <row r="469" spans="1:15" x14ac:dyDescent="0.3">
      <c r="A469" t="s">
        <v>482</v>
      </c>
      <c r="B469">
        <v>77</v>
      </c>
      <c r="C469">
        <v>16</v>
      </c>
      <c r="D469" s="1">
        <v>46026.147916666669</v>
      </c>
      <c r="E469">
        <v>49</v>
      </c>
      <c r="F469" t="s">
        <v>9</v>
      </c>
      <c r="G469" t="s">
        <v>10</v>
      </c>
      <c r="H469">
        <v>24</v>
      </c>
      <c r="I469" t="str">
        <f>IFERROR(VLOOKUP(C469,Merchants!$A$2:$D$41,2,FALSE),"Merchant not found")</f>
        <v>Merchant_016</v>
      </c>
      <c r="J469" t="str">
        <f>IFERROR(VLOOKUP(C469,Merchants!$A$2:$D$41,3,FALSE),"Merchant not found")</f>
        <v>bill_payment</v>
      </c>
      <c r="K469" t="str">
        <f>IFERROR(VLOOKUP(C469,Merchants!$A$2:$D$41,4,FALSE), "Merchant Not Fount")</f>
        <v>West</v>
      </c>
      <c r="L469" s="2">
        <f>HLOOKUP(F469,HLOOKUP_Reference!$A$1:$E$2,2,FALSE)</f>
        <v>6.4999999999999997E-3</v>
      </c>
      <c r="M469">
        <f>SUMIFS(Daily_Merchant_Pivot!$E:$E,Daily_Merchant_Pivot!$A:$A,C469,Daily_Merchant_Pivot!$D:$D,INT(D469))</f>
        <v>49</v>
      </c>
      <c r="N469" t="str">
        <f t="shared" si="14"/>
        <v>Normal Merchant Day</v>
      </c>
      <c r="O469" s="7">
        <f t="shared" si="15"/>
        <v>46026</v>
      </c>
    </row>
    <row r="470" spans="1:15" x14ac:dyDescent="0.3">
      <c r="A470" t="s">
        <v>483</v>
      </c>
      <c r="B470">
        <v>182</v>
      </c>
      <c r="C470">
        <v>18</v>
      </c>
      <c r="D470" s="1">
        <v>46042.677777777775</v>
      </c>
      <c r="E470">
        <v>149</v>
      </c>
      <c r="F470" t="s">
        <v>24</v>
      </c>
      <c r="G470" t="s">
        <v>10</v>
      </c>
      <c r="H470">
        <v>50</v>
      </c>
      <c r="I470" t="str">
        <f>IFERROR(VLOOKUP(C470,Merchants!$A$2:$D$41,2,FALSE),"Merchant not found")</f>
        <v>Merchant_018</v>
      </c>
      <c r="J470" t="str">
        <f>IFERROR(VLOOKUP(C470,Merchants!$A$2:$D$41,3,FALSE),"Merchant not found")</f>
        <v>grocery</v>
      </c>
      <c r="K470" t="str">
        <f>IFERROR(VLOOKUP(C470,Merchants!$A$2:$D$41,4,FALSE), "Merchant Not Fount")</f>
        <v>West</v>
      </c>
      <c r="L470" s="2">
        <f>HLOOKUP(F470,HLOOKUP_Reference!$A$1:$E$2,2,FALSE)</f>
        <v>1.4999999999999999E-2</v>
      </c>
      <c r="M470">
        <f>SUMIFS(Daily_Merchant_Pivot!$E:$E,Daily_Merchant_Pivot!$A:$A,C470,Daily_Merchant_Pivot!$D:$D,INT(D470))</f>
        <v>149</v>
      </c>
      <c r="N470" t="str">
        <f t="shared" si="14"/>
        <v>Normal Merchant Day</v>
      </c>
      <c r="O470" s="7">
        <f t="shared" si="15"/>
        <v>46042</v>
      </c>
    </row>
    <row r="471" spans="1:15" x14ac:dyDescent="0.3">
      <c r="A471" t="s">
        <v>484</v>
      </c>
      <c r="B471">
        <v>236</v>
      </c>
      <c r="C471">
        <v>37</v>
      </c>
      <c r="D471" s="1">
        <v>46025.475694444445</v>
      </c>
      <c r="E471">
        <v>299</v>
      </c>
      <c r="F471" t="s">
        <v>24</v>
      </c>
      <c r="G471" t="s">
        <v>10</v>
      </c>
      <c r="H471">
        <v>31</v>
      </c>
      <c r="I471" t="str">
        <f>IFERROR(VLOOKUP(C471,Merchants!$A$2:$D$41,2,FALSE),"Merchant not found")</f>
        <v>Merchant_037</v>
      </c>
      <c r="J471" t="str">
        <f>IFERROR(VLOOKUP(C471,Merchants!$A$2:$D$41,3,FALSE),"Merchant not found")</f>
        <v>entertainment</v>
      </c>
      <c r="K471" t="str">
        <f>IFERROR(VLOOKUP(C471,Merchants!$A$2:$D$41,4,FALSE), "Merchant Not Fount")</f>
        <v>South</v>
      </c>
      <c r="L471" s="2">
        <f>HLOOKUP(F471,HLOOKUP_Reference!$A$1:$E$2,2,FALSE)</f>
        <v>1.4999999999999999E-2</v>
      </c>
      <c r="M471">
        <f>SUMIFS(Daily_Merchant_Pivot!$E:$E,Daily_Merchant_Pivot!$A:$A,C471,Daily_Merchant_Pivot!$D:$D,INT(D471))</f>
        <v>299</v>
      </c>
      <c r="N471" t="str">
        <f t="shared" si="14"/>
        <v>Normal Merchant Day</v>
      </c>
      <c r="O471" s="7">
        <f t="shared" si="15"/>
        <v>46025</v>
      </c>
    </row>
    <row r="472" spans="1:15" x14ac:dyDescent="0.3">
      <c r="A472" t="s">
        <v>485</v>
      </c>
      <c r="B472">
        <v>42</v>
      </c>
      <c r="C472">
        <v>3</v>
      </c>
      <c r="D472" s="1">
        <v>46045.304861111108</v>
      </c>
      <c r="E472">
        <v>49</v>
      </c>
      <c r="F472" t="s">
        <v>12</v>
      </c>
      <c r="G472" t="s">
        <v>10</v>
      </c>
      <c r="H472">
        <v>11</v>
      </c>
      <c r="I472" t="str">
        <f>IFERROR(VLOOKUP(C472,Merchants!$A$2:$D$41,2,FALSE),"Merchant not found")</f>
        <v>Merchant_003</v>
      </c>
      <c r="J472" t="str">
        <f>IFERROR(VLOOKUP(C472,Merchants!$A$2:$D$41,3,FALSE),"Merchant not found")</f>
        <v>grocery</v>
      </c>
      <c r="K472" t="str">
        <f>IFERROR(VLOOKUP(C472,Merchants!$A$2:$D$41,4,FALSE), "Merchant Not Fount")</f>
        <v>East</v>
      </c>
      <c r="L472" s="2">
        <f>HLOOKUP(F472,HLOOKUP_Reference!$A$1:$E$2,2,FALSE)</f>
        <v>2E-3</v>
      </c>
      <c r="M472">
        <f>SUMIFS(Daily_Merchant_Pivot!$E:$E,Daily_Merchant_Pivot!$A:$A,C472,Daily_Merchant_Pivot!$D:$D,INT(D472))</f>
        <v>49</v>
      </c>
      <c r="N472" t="str">
        <f t="shared" si="14"/>
        <v>Normal Merchant Day</v>
      </c>
      <c r="O472" s="7">
        <f t="shared" si="15"/>
        <v>46045</v>
      </c>
    </row>
    <row r="473" spans="1:15" x14ac:dyDescent="0.3">
      <c r="A473" t="s">
        <v>486</v>
      </c>
      <c r="B473">
        <v>283</v>
      </c>
      <c r="C473">
        <v>31</v>
      </c>
      <c r="D473" s="1">
        <v>46035.51666666667</v>
      </c>
      <c r="E473">
        <v>299</v>
      </c>
      <c r="F473" t="s">
        <v>15</v>
      </c>
      <c r="G473" t="s">
        <v>10</v>
      </c>
      <c r="H473">
        <v>7</v>
      </c>
      <c r="I473" t="str">
        <f>IFERROR(VLOOKUP(C473,Merchants!$A$2:$D$41,2,FALSE),"Merchant not found")</f>
        <v>Merchant_031</v>
      </c>
      <c r="J473" t="str">
        <f>IFERROR(VLOOKUP(C473,Merchants!$A$2:$D$41,3,FALSE),"Merchant not found")</f>
        <v>bill_payment</v>
      </c>
      <c r="K473" t="str">
        <f>IFERROR(VLOOKUP(C473,Merchants!$A$2:$D$41,4,FALSE), "Merchant Not Fount")</f>
        <v>East</v>
      </c>
      <c r="L473" s="2">
        <f>HLOOKUP(F473,HLOOKUP_Reference!$A$1:$E$2,2,FALSE)</f>
        <v>0.01</v>
      </c>
      <c r="M473">
        <f>SUMIFS(Daily_Merchant_Pivot!$E:$E,Daily_Merchant_Pivot!$A:$A,C473,Daily_Merchant_Pivot!$D:$D,INT(D473))</f>
        <v>299</v>
      </c>
      <c r="N473" t="str">
        <f t="shared" si="14"/>
        <v>Normal Merchant Day</v>
      </c>
      <c r="O473" s="7">
        <f t="shared" si="15"/>
        <v>46035</v>
      </c>
    </row>
    <row r="474" spans="1:15" x14ac:dyDescent="0.3">
      <c r="A474" t="s">
        <v>487</v>
      </c>
      <c r="B474">
        <v>88</v>
      </c>
      <c r="C474">
        <v>6</v>
      </c>
      <c r="D474" s="1">
        <v>46043.030555555553</v>
      </c>
      <c r="E474">
        <v>49</v>
      </c>
      <c r="F474" t="s">
        <v>12</v>
      </c>
      <c r="G474" t="s">
        <v>10</v>
      </c>
      <c r="H474">
        <v>63</v>
      </c>
      <c r="I474" t="str">
        <f>IFERROR(VLOOKUP(C474,Merchants!$A$2:$D$41,2,FALSE),"Merchant not found")</f>
        <v>Merchant_006</v>
      </c>
      <c r="J474" t="str">
        <f>IFERROR(VLOOKUP(C474,Merchants!$A$2:$D$41,3,FALSE),"Merchant not found")</f>
        <v>food_delivery</v>
      </c>
      <c r="K474" t="str">
        <f>IFERROR(VLOOKUP(C474,Merchants!$A$2:$D$41,4,FALSE), "Merchant Not Fount")</f>
        <v>South</v>
      </c>
      <c r="L474" s="2">
        <f>HLOOKUP(F474,HLOOKUP_Reference!$A$1:$E$2,2,FALSE)</f>
        <v>2E-3</v>
      </c>
      <c r="M474">
        <f>SUMIFS(Daily_Merchant_Pivot!$E:$E,Daily_Merchant_Pivot!$A:$A,C474,Daily_Merchant_Pivot!$D:$D,INT(D474))</f>
        <v>49</v>
      </c>
      <c r="N474" t="str">
        <f t="shared" si="14"/>
        <v>Normal Merchant Day</v>
      </c>
      <c r="O474" s="7">
        <f t="shared" si="15"/>
        <v>46043</v>
      </c>
    </row>
    <row r="475" spans="1:15" x14ac:dyDescent="0.3">
      <c r="A475" t="s">
        <v>488</v>
      </c>
      <c r="B475">
        <v>170</v>
      </c>
      <c r="C475">
        <v>37</v>
      </c>
      <c r="D475" s="1">
        <v>46050.570138888892</v>
      </c>
      <c r="E475">
        <v>99</v>
      </c>
      <c r="F475" t="s">
        <v>12</v>
      </c>
      <c r="G475" t="s">
        <v>25</v>
      </c>
      <c r="H475">
        <v>12</v>
      </c>
      <c r="I475" t="str">
        <f>IFERROR(VLOOKUP(C475,Merchants!$A$2:$D$41,2,FALSE),"Merchant not found")</f>
        <v>Merchant_037</v>
      </c>
      <c r="J475" t="str">
        <f>IFERROR(VLOOKUP(C475,Merchants!$A$2:$D$41,3,FALSE),"Merchant not found")</f>
        <v>entertainment</v>
      </c>
      <c r="K475" t="str">
        <f>IFERROR(VLOOKUP(C475,Merchants!$A$2:$D$41,4,FALSE), "Merchant Not Fount")</f>
        <v>South</v>
      </c>
      <c r="L475" s="2">
        <f>HLOOKUP(F475,HLOOKUP_Reference!$A$1:$E$2,2,FALSE)</f>
        <v>2E-3</v>
      </c>
      <c r="M475">
        <f>SUMIFS(Daily_Merchant_Pivot!$E:$E,Daily_Merchant_Pivot!$A:$A,C475,Daily_Merchant_Pivot!$D:$D,INT(D475))</f>
        <v>697</v>
      </c>
      <c r="N475" t="str">
        <f t="shared" si="14"/>
        <v>Normal Merchant Day</v>
      </c>
      <c r="O475" s="7">
        <f t="shared" si="15"/>
        <v>46050</v>
      </c>
    </row>
    <row r="476" spans="1:15" x14ac:dyDescent="0.3">
      <c r="A476" t="s">
        <v>489</v>
      </c>
      <c r="B476">
        <v>22</v>
      </c>
      <c r="C476">
        <v>15</v>
      </c>
      <c r="D476" s="1">
        <v>46051.706944444442</v>
      </c>
      <c r="E476">
        <v>49</v>
      </c>
      <c r="F476" t="s">
        <v>15</v>
      </c>
      <c r="G476" t="s">
        <v>10</v>
      </c>
      <c r="H476">
        <v>27</v>
      </c>
      <c r="I476" t="str">
        <f>IFERROR(VLOOKUP(C476,Merchants!$A$2:$D$41,2,FALSE),"Merchant not found")</f>
        <v>Merchant_015</v>
      </c>
      <c r="J476" t="str">
        <f>IFERROR(VLOOKUP(C476,Merchants!$A$2:$D$41,3,FALSE),"Merchant not found")</f>
        <v>travel</v>
      </c>
      <c r="K476" t="str">
        <f>IFERROR(VLOOKUP(C476,Merchants!$A$2:$D$41,4,FALSE), "Merchant Not Fount")</f>
        <v>North</v>
      </c>
      <c r="L476" s="2">
        <f>HLOOKUP(F476,HLOOKUP_Reference!$A$1:$E$2,2,FALSE)</f>
        <v>0.01</v>
      </c>
      <c r="M476">
        <f>SUMIFS(Daily_Merchant_Pivot!$E:$E,Daily_Merchant_Pivot!$A:$A,C476,Daily_Merchant_Pivot!$D:$D,INT(D476))</f>
        <v>98</v>
      </c>
      <c r="N476" t="str">
        <f t="shared" si="14"/>
        <v>Normal Merchant Day</v>
      </c>
      <c r="O476" s="7">
        <f t="shared" si="15"/>
        <v>46051</v>
      </c>
    </row>
    <row r="477" spans="1:15" x14ac:dyDescent="0.3">
      <c r="A477" t="s">
        <v>490</v>
      </c>
      <c r="B477">
        <v>291</v>
      </c>
      <c r="C477">
        <v>31</v>
      </c>
      <c r="D477" s="1">
        <v>46051.955555555556</v>
      </c>
      <c r="E477">
        <v>49</v>
      </c>
      <c r="F477" t="s">
        <v>15</v>
      </c>
      <c r="G477" t="s">
        <v>25</v>
      </c>
      <c r="H477">
        <v>34</v>
      </c>
      <c r="I477" t="str">
        <f>IFERROR(VLOOKUP(C477,Merchants!$A$2:$D$41,2,FALSE),"Merchant not found")</f>
        <v>Merchant_031</v>
      </c>
      <c r="J477" t="str">
        <f>IFERROR(VLOOKUP(C477,Merchants!$A$2:$D$41,3,FALSE),"Merchant not found")</f>
        <v>bill_payment</v>
      </c>
      <c r="K477" t="str">
        <f>IFERROR(VLOOKUP(C477,Merchants!$A$2:$D$41,4,FALSE), "Merchant Not Fount")</f>
        <v>East</v>
      </c>
      <c r="L477" s="2">
        <f>HLOOKUP(F477,HLOOKUP_Reference!$A$1:$E$2,2,FALSE)</f>
        <v>0.01</v>
      </c>
      <c r="M477">
        <f>SUMIFS(Daily_Merchant_Pivot!$E:$E,Daily_Merchant_Pivot!$A:$A,C477,Daily_Merchant_Pivot!$D:$D,INT(D477))</f>
        <v>49</v>
      </c>
      <c r="N477" t="str">
        <f t="shared" si="14"/>
        <v>Normal Merchant Day</v>
      </c>
      <c r="O477" s="7">
        <f t="shared" si="15"/>
        <v>46051</v>
      </c>
    </row>
    <row r="478" spans="1:15" x14ac:dyDescent="0.3">
      <c r="A478" t="s">
        <v>491</v>
      </c>
      <c r="B478">
        <v>144</v>
      </c>
      <c r="C478">
        <v>35</v>
      </c>
      <c r="D478" s="1">
        <v>46024.113194444442</v>
      </c>
      <c r="E478">
        <v>1499</v>
      </c>
      <c r="F478" t="s">
        <v>12</v>
      </c>
      <c r="G478" t="s">
        <v>10</v>
      </c>
      <c r="H478">
        <v>72</v>
      </c>
      <c r="I478" t="str">
        <f>IFERROR(VLOOKUP(C478,Merchants!$A$2:$D$41,2,FALSE),"Merchant not found")</f>
        <v>Merchant_035</v>
      </c>
      <c r="J478" t="str">
        <f>IFERROR(VLOOKUP(C478,Merchants!$A$2:$D$41,3,FALSE),"Merchant not found")</f>
        <v>recharge</v>
      </c>
      <c r="K478" t="str">
        <f>IFERROR(VLOOKUP(C478,Merchants!$A$2:$D$41,4,FALSE), "Merchant Not Fount")</f>
        <v>East</v>
      </c>
      <c r="L478" s="2">
        <f>HLOOKUP(F478,HLOOKUP_Reference!$A$1:$E$2,2,FALSE)</f>
        <v>2E-3</v>
      </c>
      <c r="M478">
        <f>SUMIFS(Daily_Merchant_Pivot!$E:$E,Daily_Merchant_Pivot!$A:$A,C478,Daily_Merchant_Pivot!$D:$D,INT(D478))</f>
        <v>1847</v>
      </c>
      <c r="N478" t="str">
        <f t="shared" si="14"/>
        <v>Normal Merchant Day</v>
      </c>
      <c r="O478" s="7">
        <f t="shared" si="15"/>
        <v>46024</v>
      </c>
    </row>
    <row r="479" spans="1:15" x14ac:dyDescent="0.3">
      <c r="A479" t="s">
        <v>492</v>
      </c>
      <c r="B479">
        <v>162</v>
      </c>
      <c r="C479">
        <v>2</v>
      </c>
      <c r="D479" s="1">
        <v>46044.049305555556</v>
      </c>
      <c r="E479">
        <v>299</v>
      </c>
      <c r="F479" t="s">
        <v>9</v>
      </c>
      <c r="G479" t="s">
        <v>10</v>
      </c>
      <c r="H479">
        <v>26</v>
      </c>
      <c r="I479" t="str">
        <f>IFERROR(VLOOKUP(C479,Merchants!$A$2:$D$41,2,FALSE),"Merchant not found")</f>
        <v>Merchant_002</v>
      </c>
      <c r="J479" t="str">
        <f>IFERROR(VLOOKUP(C479,Merchants!$A$2:$D$41,3,FALSE),"Merchant not found")</f>
        <v>grocery</v>
      </c>
      <c r="K479" t="str">
        <f>IFERROR(VLOOKUP(C479,Merchants!$A$2:$D$41,4,FALSE), "Merchant Not Fount")</f>
        <v>West</v>
      </c>
      <c r="L479" s="2">
        <f>HLOOKUP(F479,HLOOKUP_Reference!$A$1:$E$2,2,FALSE)</f>
        <v>6.4999999999999997E-3</v>
      </c>
      <c r="M479">
        <f>SUMIFS(Daily_Merchant_Pivot!$E:$E,Daily_Merchant_Pivot!$A:$A,C479,Daily_Merchant_Pivot!$D:$D,INT(D479))</f>
        <v>299</v>
      </c>
      <c r="N479" t="str">
        <f t="shared" si="14"/>
        <v>Normal Merchant Day</v>
      </c>
      <c r="O479" s="7">
        <f t="shared" si="15"/>
        <v>46044</v>
      </c>
    </row>
    <row r="480" spans="1:15" x14ac:dyDescent="0.3">
      <c r="A480" t="s">
        <v>493</v>
      </c>
      <c r="B480">
        <v>204</v>
      </c>
      <c r="C480">
        <v>5</v>
      </c>
      <c r="D480" s="1">
        <v>46041.2</v>
      </c>
      <c r="E480">
        <v>49</v>
      </c>
      <c r="F480" t="s">
        <v>12</v>
      </c>
      <c r="G480" t="s">
        <v>10</v>
      </c>
      <c r="H480">
        <v>38</v>
      </c>
      <c r="I480" t="str">
        <f>IFERROR(VLOOKUP(C480,Merchants!$A$2:$D$41,2,FALSE),"Merchant not found")</f>
        <v>Merchant_005</v>
      </c>
      <c r="J480" t="str">
        <f>IFERROR(VLOOKUP(C480,Merchants!$A$2:$D$41,3,FALSE),"Merchant not found")</f>
        <v>recharge</v>
      </c>
      <c r="K480" t="str">
        <f>IFERROR(VLOOKUP(C480,Merchants!$A$2:$D$41,4,FALSE), "Merchant Not Fount")</f>
        <v>South</v>
      </c>
      <c r="L480" s="2">
        <f>HLOOKUP(F480,HLOOKUP_Reference!$A$1:$E$2,2,FALSE)</f>
        <v>2E-3</v>
      </c>
      <c r="M480">
        <f>SUMIFS(Daily_Merchant_Pivot!$E:$E,Daily_Merchant_Pivot!$A:$A,C480,Daily_Merchant_Pivot!$D:$D,INT(D480))</f>
        <v>49</v>
      </c>
      <c r="N480" t="str">
        <f t="shared" si="14"/>
        <v>Normal Merchant Day</v>
      </c>
      <c r="O480" s="7">
        <f t="shared" si="15"/>
        <v>46041</v>
      </c>
    </row>
    <row r="481" spans="1:15" x14ac:dyDescent="0.3">
      <c r="A481" t="s">
        <v>494</v>
      </c>
      <c r="B481">
        <v>291</v>
      </c>
      <c r="C481">
        <v>25</v>
      </c>
      <c r="D481" s="1">
        <v>46028.760416666664</v>
      </c>
      <c r="E481">
        <v>99</v>
      </c>
      <c r="F481" t="s">
        <v>9</v>
      </c>
      <c r="G481" t="s">
        <v>10</v>
      </c>
      <c r="H481">
        <v>86</v>
      </c>
      <c r="I481" t="str">
        <f>IFERROR(VLOOKUP(C481,Merchants!$A$2:$D$41,2,FALSE),"Merchant not found")</f>
        <v>Merchant_025</v>
      </c>
      <c r="J481" t="str">
        <f>IFERROR(VLOOKUP(C481,Merchants!$A$2:$D$41,3,FALSE),"Merchant not found")</f>
        <v>travel</v>
      </c>
      <c r="K481" t="str">
        <f>IFERROR(VLOOKUP(C481,Merchants!$A$2:$D$41,4,FALSE), "Merchant Not Fount")</f>
        <v>South</v>
      </c>
      <c r="L481" s="2">
        <f>HLOOKUP(F481,HLOOKUP_Reference!$A$1:$E$2,2,FALSE)</f>
        <v>6.4999999999999997E-3</v>
      </c>
      <c r="M481">
        <f>SUMIFS(Daily_Merchant_Pivot!$E:$E,Daily_Merchant_Pivot!$A:$A,C481,Daily_Merchant_Pivot!$D:$D,INT(D481))</f>
        <v>898</v>
      </c>
      <c r="N481" t="str">
        <f t="shared" si="14"/>
        <v>Normal Merchant Day</v>
      </c>
      <c r="O481" s="7">
        <f t="shared" si="15"/>
        <v>46028</v>
      </c>
    </row>
    <row r="482" spans="1:15" x14ac:dyDescent="0.3">
      <c r="A482" t="s">
        <v>495</v>
      </c>
      <c r="B482">
        <v>197</v>
      </c>
      <c r="C482">
        <v>9</v>
      </c>
      <c r="D482" s="1">
        <v>46051.722916666666</v>
      </c>
      <c r="E482">
        <v>49</v>
      </c>
      <c r="F482" t="s">
        <v>9</v>
      </c>
      <c r="G482" t="s">
        <v>25</v>
      </c>
      <c r="H482">
        <v>88</v>
      </c>
      <c r="I482" t="str">
        <f>IFERROR(VLOOKUP(C482,Merchants!$A$2:$D$41,2,FALSE),"Merchant not found")</f>
        <v>Merchant_009</v>
      </c>
      <c r="J482" t="str">
        <f>IFERROR(VLOOKUP(C482,Merchants!$A$2:$D$41,3,FALSE),"Merchant not found")</f>
        <v>ecommerce</v>
      </c>
      <c r="K482" t="str">
        <f>IFERROR(VLOOKUP(C482,Merchants!$A$2:$D$41,4,FALSE), "Merchant Not Fount")</f>
        <v>North</v>
      </c>
      <c r="L482" s="2">
        <f>HLOOKUP(F482,HLOOKUP_Reference!$A$1:$E$2,2,FALSE)</f>
        <v>6.4999999999999997E-3</v>
      </c>
      <c r="M482">
        <f>SUMIFS(Daily_Merchant_Pivot!$E:$E,Daily_Merchant_Pivot!$A:$A,C482,Daily_Merchant_Pivot!$D:$D,INT(D482))</f>
        <v>49</v>
      </c>
      <c r="N482" t="str">
        <f t="shared" si="14"/>
        <v>Normal Merchant Day</v>
      </c>
      <c r="O482" s="7">
        <f t="shared" si="15"/>
        <v>46051</v>
      </c>
    </row>
    <row r="483" spans="1:15" x14ac:dyDescent="0.3">
      <c r="A483" t="s">
        <v>496</v>
      </c>
      <c r="B483">
        <v>178</v>
      </c>
      <c r="C483">
        <v>4</v>
      </c>
      <c r="D483" s="1">
        <v>46046.105555555558</v>
      </c>
      <c r="E483">
        <v>1499</v>
      </c>
      <c r="F483" t="s">
        <v>12</v>
      </c>
      <c r="G483" t="s">
        <v>10</v>
      </c>
      <c r="H483">
        <v>12</v>
      </c>
      <c r="I483" t="str">
        <f>IFERROR(VLOOKUP(C483,Merchants!$A$2:$D$41,2,FALSE),"Merchant not found")</f>
        <v>Merchant_004</v>
      </c>
      <c r="J483" t="str">
        <f>IFERROR(VLOOKUP(C483,Merchants!$A$2:$D$41,3,FALSE),"Merchant not found")</f>
        <v>ecommerce</v>
      </c>
      <c r="K483" t="str">
        <f>IFERROR(VLOOKUP(C483,Merchants!$A$2:$D$41,4,FALSE), "Merchant Not Fount")</f>
        <v>East</v>
      </c>
      <c r="L483" s="2">
        <f>HLOOKUP(F483,HLOOKUP_Reference!$A$1:$E$2,2,FALSE)</f>
        <v>2E-3</v>
      </c>
      <c r="M483">
        <f>SUMIFS(Daily_Merchant_Pivot!$E:$E,Daily_Merchant_Pivot!$A:$A,C483,Daily_Merchant_Pivot!$D:$D,INT(D483))</f>
        <v>1499</v>
      </c>
      <c r="N483" t="str">
        <f t="shared" si="14"/>
        <v>Normal Merchant Day</v>
      </c>
      <c r="O483" s="7">
        <f t="shared" si="15"/>
        <v>46046</v>
      </c>
    </row>
    <row r="484" spans="1:15" x14ac:dyDescent="0.3">
      <c r="A484" t="s">
        <v>497</v>
      </c>
      <c r="B484">
        <v>39</v>
      </c>
      <c r="C484">
        <v>22</v>
      </c>
      <c r="D484" s="1">
        <v>46036.328472222223</v>
      </c>
      <c r="E484">
        <v>799</v>
      </c>
      <c r="F484" t="s">
        <v>15</v>
      </c>
      <c r="G484" t="s">
        <v>10</v>
      </c>
      <c r="H484">
        <v>77</v>
      </c>
      <c r="I484" t="str">
        <f>IFERROR(VLOOKUP(C484,Merchants!$A$2:$D$41,2,FALSE),"Merchant not found")</f>
        <v>Merchant_022</v>
      </c>
      <c r="J484" t="str">
        <f>IFERROR(VLOOKUP(C484,Merchants!$A$2:$D$41,3,FALSE),"Merchant not found")</f>
        <v>travel</v>
      </c>
      <c r="K484" t="str">
        <f>IFERROR(VLOOKUP(C484,Merchants!$A$2:$D$41,4,FALSE), "Merchant Not Fount")</f>
        <v>South</v>
      </c>
      <c r="L484" s="2">
        <f>HLOOKUP(F484,HLOOKUP_Reference!$A$1:$E$2,2,FALSE)</f>
        <v>0.01</v>
      </c>
      <c r="M484">
        <f>SUMIFS(Daily_Merchant_Pivot!$E:$E,Daily_Merchant_Pivot!$A:$A,C484,Daily_Merchant_Pivot!$D:$D,INT(D484))</f>
        <v>799</v>
      </c>
      <c r="N484" t="str">
        <f t="shared" si="14"/>
        <v>Normal Merchant Day</v>
      </c>
      <c r="O484" s="7">
        <f t="shared" si="15"/>
        <v>46036</v>
      </c>
    </row>
    <row r="485" spans="1:15" x14ac:dyDescent="0.3">
      <c r="A485" t="s">
        <v>498</v>
      </c>
      <c r="B485">
        <v>204</v>
      </c>
      <c r="C485">
        <v>21</v>
      </c>
      <c r="D485" s="1">
        <v>46047.818055555559</v>
      </c>
      <c r="E485">
        <v>299</v>
      </c>
      <c r="F485" t="s">
        <v>9</v>
      </c>
      <c r="G485" t="s">
        <v>10</v>
      </c>
      <c r="H485">
        <v>3</v>
      </c>
      <c r="I485" t="str">
        <f>IFERROR(VLOOKUP(C485,Merchants!$A$2:$D$41,2,FALSE),"Merchant not found")</f>
        <v>Merchant_021</v>
      </c>
      <c r="J485" t="str">
        <f>IFERROR(VLOOKUP(C485,Merchants!$A$2:$D$41,3,FALSE),"Merchant not found")</f>
        <v>food_delivery</v>
      </c>
      <c r="K485" t="str">
        <f>IFERROR(VLOOKUP(C485,Merchants!$A$2:$D$41,4,FALSE), "Merchant Not Fount")</f>
        <v>East</v>
      </c>
      <c r="L485" s="2">
        <f>HLOOKUP(F485,HLOOKUP_Reference!$A$1:$E$2,2,FALSE)</f>
        <v>6.4999999999999997E-3</v>
      </c>
      <c r="M485">
        <f>SUMIFS(Daily_Merchant_Pivot!$E:$E,Daily_Merchant_Pivot!$A:$A,C485,Daily_Merchant_Pivot!$D:$D,INT(D485))</f>
        <v>299</v>
      </c>
      <c r="N485" t="str">
        <f t="shared" si="14"/>
        <v>Normal Merchant Day</v>
      </c>
      <c r="O485" s="7">
        <f t="shared" si="15"/>
        <v>46047</v>
      </c>
    </row>
    <row r="486" spans="1:15" x14ac:dyDescent="0.3">
      <c r="A486" t="s">
        <v>499</v>
      </c>
      <c r="B486">
        <v>231</v>
      </c>
      <c r="C486">
        <v>32</v>
      </c>
      <c r="D486" s="1">
        <v>46043.368055555555</v>
      </c>
      <c r="E486">
        <v>299</v>
      </c>
      <c r="F486" t="s">
        <v>12</v>
      </c>
      <c r="G486" t="s">
        <v>10</v>
      </c>
      <c r="H486">
        <v>29</v>
      </c>
      <c r="I486" t="str">
        <f>IFERROR(VLOOKUP(C486,Merchants!$A$2:$D$41,2,FALSE),"Merchant not found")</f>
        <v>Merchant_032</v>
      </c>
      <c r="J486" t="str">
        <f>IFERROR(VLOOKUP(C486,Merchants!$A$2:$D$41,3,FALSE),"Merchant not found")</f>
        <v>food_delivery</v>
      </c>
      <c r="K486" t="str">
        <f>IFERROR(VLOOKUP(C486,Merchants!$A$2:$D$41,4,FALSE), "Merchant Not Fount")</f>
        <v>West</v>
      </c>
      <c r="L486" s="2">
        <f>HLOOKUP(F486,HLOOKUP_Reference!$A$1:$E$2,2,FALSE)</f>
        <v>2E-3</v>
      </c>
      <c r="M486">
        <f>SUMIFS(Daily_Merchant_Pivot!$E:$E,Daily_Merchant_Pivot!$A:$A,C486,Daily_Merchant_Pivot!$D:$D,INT(D486))</f>
        <v>348</v>
      </c>
      <c r="N486" t="str">
        <f t="shared" si="14"/>
        <v>Normal Merchant Day</v>
      </c>
      <c r="O486" s="7">
        <f t="shared" si="15"/>
        <v>46043</v>
      </c>
    </row>
    <row r="487" spans="1:15" x14ac:dyDescent="0.3">
      <c r="A487" t="s">
        <v>500</v>
      </c>
      <c r="B487">
        <v>222</v>
      </c>
      <c r="C487">
        <v>12</v>
      </c>
      <c r="D487" s="1">
        <v>46034.724999999999</v>
      </c>
      <c r="E487">
        <v>499</v>
      </c>
      <c r="F487" t="s">
        <v>9</v>
      </c>
      <c r="G487" t="s">
        <v>25</v>
      </c>
      <c r="H487">
        <v>87</v>
      </c>
      <c r="I487" t="str">
        <f>IFERROR(VLOOKUP(C487,Merchants!$A$2:$D$41,2,FALSE),"Merchant not found")</f>
        <v>Merchant_012</v>
      </c>
      <c r="J487" t="str">
        <f>IFERROR(VLOOKUP(C487,Merchants!$A$2:$D$41,3,FALSE),"Merchant not found")</f>
        <v>ecommerce</v>
      </c>
      <c r="K487" t="str">
        <f>IFERROR(VLOOKUP(C487,Merchants!$A$2:$D$41,4,FALSE), "Merchant Not Fount")</f>
        <v>East</v>
      </c>
      <c r="L487" s="2">
        <f>HLOOKUP(F487,HLOOKUP_Reference!$A$1:$E$2,2,FALSE)</f>
        <v>6.4999999999999997E-3</v>
      </c>
      <c r="M487">
        <f>SUMIFS(Daily_Merchant_Pivot!$E:$E,Daily_Merchant_Pivot!$A:$A,C487,Daily_Merchant_Pivot!$D:$D,INT(D487))</f>
        <v>1998</v>
      </c>
      <c r="N487" t="str">
        <f t="shared" si="14"/>
        <v>Normal Merchant Day</v>
      </c>
      <c r="O487" s="7">
        <f t="shared" si="15"/>
        <v>46034</v>
      </c>
    </row>
    <row r="488" spans="1:15" x14ac:dyDescent="0.3">
      <c r="A488" t="s">
        <v>501</v>
      </c>
      <c r="B488">
        <v>44</v>
      </c>
      <c r="C488">
        <v>40</v>
      </c>
      <c r="D488" s="1">
        <v>46041.89166666667</v>
      </c>
      <c r="E488">
        <v>499</v>
      </c>
      <c r="F488" t="s">
        <v>12</v>
      </c>
      <c r="G488" t="s">
        <v>10</v>
      </c>
      <c r="H488">
        <v>37</v>
      </c>
      <c r="I488" t="str">
        <f>IFERROR(VLOOKUP(C488,Merchants!$A$2:$D$41,2,FALSE),"Merchant not found")</f>
        <v>Merchant_040</v>
      </c>
      <c r="J488" t="str">
        <f>IFERROR(VLOOKUP(C488,Merchants!$A$2:$D$41,3,FALSE),"Merchant not found")</f>
        <v>entertainment</v>
      </c>
      <c r="K488" t="str">
        <f>IFERROR(VLOOKUP(C488,Merchants!$A$2:$D$41,4,FALSE), "Merchant Not Fount")</f>
        <v>South</v>
      </c>
      <c r="L488" s="2">
        <f>HLOOKUP(F488,HLOOKUP_Reference!$A$1:$E$2,2,FALSE)</f>
        <v>2E-3</v>
      </c>
      <c r="M488">
        <f>SUMIFS(Daily_Merchant_Pivot!$E:$E,Daily_Merchant_Pivot!$A:$A,C488,Daily_Merchant_Pivot!$D:$D,INT(D488))</f>
        <v>648</v>
      </c>
      <c r="N488" t="str">
        <f t="shared" si="14"/>
        <v>Normal Merchant Day</v>
      </c>
      <c r="O488" s="7">
        <f t="shared" si="15"/>
        <v>46041</v>
      </c>
    </row>
    <row r="489" spans="1:15" x14ac:dyDescent="0.3">
      <c r="A489" t="s">
        <v>502</v>
      </c>
      <c r="B489">
        <v>38</v>
      </c>
      <c r="C489">
        <v>6</v>
      </c>
      <c r="D489" s="1">
        <v>46048.322916666664</v>
      </c>
      <c r="E489">
        <v>49</v>
      </c>
      <c r="F489" t="s">
        <v>9</v>
      </c>
      <c r="G489" t="s">
        <v>10</v>
      </c>
      <c r="H489">
        <v>34</v>
      </c>
      <c r="I489" t="str">
        <f>IFERROR(VLOOKUP(C489,Merchants!$A$2:$D$41,2,FALSE),"Merchant not found")</f>
        <v>Merchant_006</v>
      </c>
      <c r="J489" t="str">
        <f>IFERROR(VLOOKUP(C489,Merchants!$A$2:$D$41,3,FALSE),"Merchant not found")</f>
        <v>food_delivery</v>
      </c>
      <c r="K489" t="str">
        <f>IFERROR(VLOOKUP(C489,Merchants!$A$2:$D$41,4,FALSE), "Merchant Not Fount")</f>
        <v>South</v>
      </c>
      <c r="L489" s="2">
        <f>HLOOKUP(F489,HLOOKUP_Reference!$A$1:$E$2,2,FALSE)</f>
        <v>6.4999999999999997E-3</v>
      </c>
      <c r="M489">
        <f>SUMIFS(Daily_Merchant_Pivot!$E:$E,Daily_Merchant_Pivot!$A:$A,C489,Daily_Merchant_Pivot!$D:$D,INT(D489))</f>
        <v>897</v>
      </c>
      <c r="N489" t="str">
        <f t="shared" si="14"/>
        <v>Normal Merchant Day</v>
      </c>
      <c r="O489" s="7">
        <f t="shared" si="15"/>
        <v>46048</v>
      </c>
    </row>
    <row r="490" spans="1:15" x14ac:dyDescent="0.3">
      <c r="A490" t="s">
        <v>503</v>
      </c>
      <c r="B490">
        <v>325</v>
      </c>
      <c r="C490">
        <v>10</v>
      </c>
      <c r="D490" s="1">
        <v>46027.53125</v>
      </c>
      <c r="E490">
        <v>49</v>
      </c>
      <c r="F490" t="s">
        <v>15</v>
      </c>
      <c r="G490" t="s">
        <v>38</v>
      </c>
      <c r="H490">
        <v>94</v>
      </c>
      <c r="I490" t="str">
        <f>IFERROR(VLOOKUP(C490,Merchants!$A$2:$D$41,2,FALSE),"Merchant not found")</f>
        <v>Merchant_010</v>
      </c>
      <c r="J490" t="str">
        <f>IFERROR(VLOOKUP(C490,Merchants!$A$2:$D$41,3,FALSE),"Merchant not found")</f>
        <v>grocery</v>
      </c>
      <c r="K490" t="str">
        <f>IFERROR(VLOOKUP(C490,Merchants!$A$2:$D$41,4,FALSE), "Merchant Not Fount")</f>
        <v>West</v>
      </c>
      <c r="L490" s="2">
        <f>HLOOKUP(F490,HLOOKUP_Reference!$A$1:$E$2,2,FALSE)</f>
        <v>0.01</v>
      </c>
      <c r="M490">
        <f>SUMIFS(Daily_Merchant_Pivot!$E:$E,Daily_Merchant_Pivot!$A:$A,C490,Daily_Merchant_Pivot!$D:$D,INT(D490))</f>
        <v>49</v>
      </c>
      <c r="N490" t="str">
        <f t="shared" si="14"/>
        <v>Normal Merchant Day</v>
      </c>
      <c r="O490" s="7">
        <f t="shared" si="15"/>
        <v>46027</v>
      </c>
    </row>
    <row r="491" spans="1:15" x14ac:dyDescent="0.3">
      <c r="A491" t="s">
        <v>504</v>
      </c>
      <c r="B491">
        <v>55</v>
      </c>
      <c r="C491">
        <v>6</v>
      </c>
      <c r="D491" s="1">
        <v>46035.432638888888</v>
      </c>
      <c r="E491">
        <v>1499</v>
      </c>
      <c r="F491" t="s">
        <v>24</v>
      </c>
      <c r="G491" t="s">
        <v>10</v>
      </c>
      <c r="H491">
        <v>0</v>
      </c>
      <c r="I491" t="str">
        <f>IFERROR(VLOOKUP(C491,Merchants!$A$2:$D$41,2,FALSE),"Merchant not found")</f>
        <v>Merchant_006</v>
      </c>
      <c r="J491" t="str">
        <f>IFERROR(VLOOKUP(C491,Merchants!$A$2:$D$41,3,FALSE),"Merchant not found")</f>
        <v>food_delivery</v>
      </c>
      <c r="K491" t="str">
        <f>IFERROR(VLOOKUP(C491,Merchants!$A$2:$D$41,4,FALSE), "Merchant Not Fount")</f>
        <v>South</v>
      </c>
      <c r="L491" s="2">
        <f>HLOOKUP(F491,HLOOKUP_Reference!$A$1:$E$2,2,FALSE)</f>
        <v>1.4999999999999999E-2</v>
      </c>
      <c r="M491">
        <f>SUMIFS(Daily_Merchant_Pivot!$E:$E,Daily_Merchant_Pivot!$A:$A,C491,Daily_Merchant_Pivot!$D:$D,INT(D491))</f>
        <v>1499</v>
      </c>
      <c r="N491" t="str">
        <f t="shared" si="14"/>
        <v>Normal Merchant Day</v>
      </c>
      <c r="O491" s="7">
        <f t="shared" si="15"/>
        <v>46035</v>
      </c>
    </row>
    <row r="492" spans="1:15" x14ac:dyDescent="0.3">
      <c r="A492" t="s">
        <v>505</v>
      </c>
      <c r="B492">
        <v>139</v>
      </c>
      <c r="C492">
        <v>7</v>
      </c>
      <c r="D492" s="1">
        <v>46032.599305555559</v>
      </c>
      <c r="E492">
        <v>499</v>
      </c>
      <c r="F492" t="s">
        <v>24</v>
      </c>
      <c r="G492" t="s">
        <v>10</v>
      </c>
      <c r="H492">
        <v>16</v>
      </c>
      <c r="I492" t="str">
        <f>IFERROR(VLOOKUP(C492,Merchants!$A$2:$D$41,2,FALSE),"Merchant not found")</f>
        <v>Merchant_007</v>
      </c>
      <c r="J492" t="str">
        <f>IFERROR(VLOOKUP(C492,Merchants!$A$2:$D$41,3,FALSE),"Merchant not found")</f>
        <v>food_delivery</v>
      </c>
      <c r="K492" t="str">
        <f>IFERROR(VLOOKUP(C492,Merchants!$A$2:$D$41,4,FALSE), "Merchant Not Fount")</f>
        <v>East</v>
      </c>
      <c r="L492" s="2">
        <f>HLOOKUP(F492,HLOOKUP_Reference!$A$1:$E$2,2,FALSE)</f>
        <v>1.4999999999999999E-2</v>
      </c>
      <c r="M492">
        <f>SUMIFS(Daily_Merchant_Pivot!$E:$E,Daily_Merchant_Pivot!$A:$A,C492,Daily_Merchant_Pivot!$D:$D,INT(D492))</f>
        <v>499</v>
      </c>
      <c r="N492" t="str">
        <f t="shared" si="14"/>
        <v>Normal Merchant Day</v>
      </c>
      <c r="O492" s="7">
        <f t="shared" si="15"/>
        <v>46032</v>
      </c>
    </row>
    <row r="493" spans="1:15" x14ac:dyDescent="0.3">
      <c r="A493" t="s">
        <v>506</v>
      </c>
      <c r="B493">
        <v>230</v>
      </c>
      <c r="C493">
        <v>36</v>
      </c>
      <c r="D493" s="1">
        <v>46025.227083333331</v>
      </c>
      <c r="E493">
        <v>99</v>
      </c>
      <c r="F493" t="s">
        <v>9</v>
      </c>
      <c r="G493" t="s">
        <v>10</v>
      </c>
      <c r="H493">
        <v>71</v>
      </c>
      <c r="I493" t="str">
        <f>IFERROR(VLOOKUP(C493,Merchants!$A$2:$D$41,2,FALSE),"Merchant not found")</f>
        <v>Merchant_036</v>
      </c>
      <c r="J493" t="str">
        <f>IFERROR(VLOOKUP(C493,Merchants!$A$2:$D$41,3,FALSE),"Merchant not found")</f>
        <v>entertainment</v>
      </c>
      <c r="K493" t="str">
        <f>IFERROR(VLOOKUP(C493,Merchants!$A$2:$D$41,4,FALSE), "Merchant Not Fount")</f>
        <v>East</v>
      </c>
      <c r="L493" s="2">
        <f>HLOOKUP(F493,HLOOKUP_Reference!$A$1:$E$2,2,FALSE)</f>
        <v>6.4999999999999997E-3</v>
      </c>
      <c r="M493">
        <f>SUMIFS(Daily_Merchant_Pivot!$E:$E,Daily_Merchant_Pivot!$A:$A,C493,Daily_Merchant_Pivot!$D:$D,INT(D493))</f>
        <v>248</v>
      </c>
      <c r="N493" t="str">
        <f t="shared" si="14"/>
        <v>Normal Merchant Day</v>
      </c>
      <c r="O493" s="7">
        <f t="shared" si="15"/>
        <v>46025</v>
      </c>
    </row>
    <row r="494" spans="1:15" x14ac:dyDescent="0.3">
      <c r="A494" t="s">
        <v>507</v>
      </c>
      <c r="B494">
        <v>14</v>
      </c>
      <c r="C494">
        <v>6</v>
      </c>
      <c r="D494" s="1">
        <v>46039.54583333333</v>
      </c>
      <c r="E494">
        <v>799</v>
      </c>
      <c r="F494" t="s">
        <v>24</v>
      </c>
      <c r="G494" t="s">
        <v>10</v>
      </c>
      <c r="H494">
        <v>45</v>
      </c>
      <c r="I494" t="str">
        <f>IFERROR(VLOOKUP(C494,Merchants!$A$2:$D$41,2,FALSE),"Merchant not found")</f>
        <v>Merchant_006</v>
      </c>
      <c r="J494" t="str">
        <f>IFERROR(VLOOKUP(C494,Merchants!$A$2:$D$41,3,FALSE),"Merchant not found")</f>
        <v>food_delivery</v>
      </c>
      <c r="K494" t="str">
        <f>IFERROR(VLOOKUP(C494,Merchants!$A$2:$D$41,4,FALSE), "Merchant Not Fount")</f>
        <v>South</v>
      </c>
      <c r="L494" s="2">
        <f>HLOOKUP(F494,HLOOKUP_Reference!$A$1:$E$2,2,FALSE)</f>
        <v>1.4999999999999999E-2</v>
      </c>
      <c r="M494">
        <f>SUMIFS(Daily_Merchant_Pivot!$E:$E,Daily_Merchant_Pivot!$A:$A,C494,Daily_Merchant_Pivot!$D:$D,INT(D494))</f>
        <v>799</v>
      </c>
      <c r="N494" t="str">
        <f t="shared" si="14"/>
        <v>Normal Merchant Day</v>
      </c>
      <c r="O494" s="7">
        <f t="shared" si="15"/>
        <v>46039</v>
      </c>
    </row>
    <row r="495" spans="1:15" x14ac:dyDescent="0.3">
      <c r="A495" t="s">
        <v>508</v>
      </c>
      <c r="B495">
        <v>307</v>
      </c>
      <c r="C495">
        <v>21</v>
      </c>
      <c r="D495" s="1">
        <v>46040.109722222223</v>
      </c>
      <c r="E495">
        <v>799</v>
      </c>
      <c r="F495" t="s">
        <v>12</v>
      </c>
      <c r="G495" t="s">
        <v>10</v>
      </c>
      <c r="H495">
        <v>49</v>
      </c>
      <c r="I495" t="str">
        <f>IFERROR(VLOOKUP(C495,Merchants!$A$2:$D$41,2,FALSE),"Merchant not found")</f>
        <v>Merchant_021</v>
      </c>
      <c r="J495" t="str">
        <f>IFERROR(VLOOKUP(C495,Merchants!$A$2:$D$41,3,FALSE),"Merchant not found")</f>
        <v>food_delivery</v>
      </c>
      <c r="K495" t="str">
        <f>IFERROR(VLOOKUP(C495,Merchants!$A$2:$D$41,4,FALSE), "Merchant Not Fount")</f>
        <v>East</v>
      </c>
      <c r="L495" s="2">
        <f>HLOOKUP(F495,HLOOKUP_Reference!$A$1:$E$2,2,FALSE)</f>
        <v>2E-3</v>
      </c>
      <c r="M495">
        <f>SUMIFS(Daily_Merchant_Pivot!$E:$E,Daily_Merchant_Pivot!$A:$A,C495,Daily_Merchant_Pivot!$D:$D,INT(D495))</f>
        <v>799</v>
      </c>
      <c r="N495" t="str">
        <f t="shared" si="14"/>
        <v>Normal Merchant Day</v>
      </c>
      <c r="O495" s="7">
        <f t="shared" si="15"/>
        <v>46040</v>
      </c>
    </row>
    <row r="496" spans="1:15" x14ac:dyDescent="0.3">
      <c r="A496" t="s">
        <v>509</v>
      </c>
      <c r="B496">
        <v>199</v>
      </c>
      <c r="C496">
        <v>6</v>
      </c>
      <c r="D496" s="1">
        <v>46023.393055555556</v>
      </c>
      <c r="E496">
        <v>49</v>
      </c>
      <c r="F496" t="s">
        <v>12</v>
      </c>
      <c r="G496" t="s">
        <v>10</v>
      </c>
      <c r="H496">
        <v>92</v>
      </c>
      <c r="I496" t="str">
        <f>IFERROR(VLOOKUP(C496,Merchants!$A$2:$D$41,2,FALSE),"Merchant not found")</f>
        <v>Merchant_006</v>
      </c>
      <c r="J496" t="str">
        <f>IFERROR(VLOOKUP(C496,Merchants!$A$2:$D$41,3,FALSE),"Merchant not found")</f>
        <v>food_delivery</v>
      </c>
      <c r="K496" t="str">
        <f>IFERROR(VLOOKUP(C496,Merchants!$A$2:$D$41,4,FALSE), "Merchant Not Fount")</f>
        <v>South</v>
      </c>
      <c r="L496" s="2">
        <f>HLOOKUP(F496,HLOOKUP_Reference!$A$1:$E$2,2,FALSE)</f>
        <v>2E-3</v>
      </c>
      <c r="M496">
        <f>SUMIFS(Daily_Merchant_Pivot!$E:$E,Daily_Merchant_Pivot!$A:$A,C496,Daily_Merchant_Pivot!$D:$D,INT(D496))</f>
        <v>49</v>
      </c>
      <c r="N496" t="str">
        <f t="shared" si="14"/>
        <v>Normal Merchant Day</v>
      </c>
      <c r="O496" s="7">
        <f t="shared" si="15"/>
        <v>46023</v>
      </c>
    </row>
    <row r="497" spans="1:15" x14ac:dyDescent="0.3">
      <c r="A497" t="s">
        <v>510</v>
      </c>
      <c r="B497">
        <v>125</v>
      </c>
      <c r="C497">
        <v>37</v>
      </c>
      <c r="D497" s="1">
        <v>46051.747916666667</v>
      </c>
      <c r="E497">
        <v>149</v>
      </c>
      <c r="F497" t="s">
        <v>9</v>
      </c>
      <c r="G497" t="s">
        <v>10</v>
      </c>
      <c r="H497">
        <v>66</v>
      </c>
      <c r="I497" t="str">
        <f>IFERROR(VLOOKUP(C497,Merchants!$A$2:$D$41,2,FALSE),"Merchant not found")</f>
        <v>Merchant_037</v>
      </c>
      <c r="J497" t="str">
        <f>IFERROR(VLOOKUP(C497,Merchants!$A$2:$D$41,3,FALSE),"Merchant not found")</f>
        <v>entertainment</v>
      </c>
      <c r="K497" t="str">
        <f>IFERROR(VLOOKUP(C497,Merchants!$A$2:$D$41,4,FALSE), "Merchant Not Fount")</f>
        <v>South</v>
      </c>
      <c r="L497" s="2">
        <f>HLOOKUP(F497,HLOOKUP_Reference!$A$1:$E$2,2,FALSE)</f>
        <v>6.4999999999999997E-3</v>
      </c>
      <c r="M497">
        <f>SUMIFS(Daily_Merchant_Pivot!$E:$E,Daily_Merchant_Pivot!$A:$A,C497,Daily_Merchant_Pivot!$D:$D,INT(D497))</f>
        <v>149</v>
      </c>
      <c r="N497" t="str">
        <f t="shared" si="14"/>
        <v>Normal Merchant Day</v>
      </c>
      <c r="O497" s="7">
        <f t="shared" si="15"/>
        <v>46051</v>
      </c>
    </row>
    <row r="498" spans="1:15" x14ac:dyDescent="0.3">
      <c r="A498" t="s">
        <v>511</v>
      </c>
      <c r="B498">
        <v>87</v>
      </c>
      <c r="C498">
        <v>9</v>
      </c>
      <c r="D498" s="1">
        <v>46028.89166666667</v>
      </c>
      <c r="E498">
        <v>149</v>
      </c>
      <c r="F498" t="s">
        <v>12</v>
      </c>
      <c r="G498" t="s">
        <v>10</v>
      </c>
      <c r="H498">
        <v>34</v>
      </c>
      <c r="I498" t="str">
        <f>IFERROR(VLOOKUP(C498,Merchants!$A$2:$D$41,2,FALSE),"Merchant not found")</f>
        <v>Merchant_009</v>
      </c>
      <c r="J498" t="str">
        <f>IFERROR(VLOOKUP(C498,Merchants!$A$2:$D$41,3,FALSE),"Merchant not found")</f>
        <v>ecommerce</v>
      </c>
      <c r="K498" t="str">
        <f>IFERROR(VLOOKUP(C498,Merchants!$A$2:$D$41,4,FALSE), "Merchant Not Fount")</f>
        <v>North</v>
      </c>
      <c r="L498" s="2">
        <f>HLOOKUP(F498,HLOOKUP_Reference!$A$1:$E$2,2,FALSE)</f>
        <v>2E-3</v>
      </c>
      <c r="M498">
        <f>SUMIFS(Daily_Merchant_Pivot!$E:$E,Daily_Merchant_Pivot!$A:$A,C498,Daily_Merchant_Pivot!$D:$D,INT(D498))</f>
        <v>149</v>
      </c>
      <c r="N498" t="str">
        <f t="shared" si="14"/>
        <v>Normal Merchant Day</v>
      </c>
      <c r="O498" s="7">
        <f t="shared" si="15"/>
        <v>46028</v>
      </c>
    </row>
    <row r="499" spans="1:15" x14ac:dyDescent="0.3">
      <c r="A499" t="s">
        <v>512</v>
      </c>
      <c r="B499">
        <v>75</v>
      </c>
      <c r="C499">
        <v>5</v>
      </c>
      <c r="D499" s="1">
        <v>46032.354861111111</v>
      </c>
      <c r="E499">
        <v>99</v>
      </c>
      <c r="F499" t="s">
        <v>12</v>
      </c>
      <c r="G499" t="s">
        <v>10</v>
      </c>
      <c r="H499">
        <v>21</v>
      </c>
      <c r="I499" t="str">
        <f>IFERROR(VLOOKUP(C499,Merchants!$A$2:$D$41,2,FALSE),"Merchant not found")</f>
        <v>Merchant_005</v>
      </c>
      <c r="J499" t="str">
        <f>IFERROR(VLOOKUP(C499,Merchants!$A$2:$D$41,3,FALSE),"Merchant not found")</f>
        <v>recharge</v>
      </c>
      <c r="K499" t="str">
        <f>IFERROR(VLOOKUP(C499,Merchants!$A$2:$D$41,4,FALSE), "Merchant Not Fount")</f>
        <v>South</v>
      </c>
      <c r="L499" s="2">
        <f>HLOOKUP(F499,HLOOKUP_Reference!$A$1:$E$2,2,FALSE)</f>
        <v>2E-3</v>
      </c>
      <c r="M499">
        <f>SUMIFS(Daily_Merchant_Pivot!$E:$E,Daily_Merchant_Pivot!$A:$A,C499,Daily_Merchant_Pivot!$D:$D,INT(D499))</f>
        <v>99</v>
      </c>
      <c r="N499" t="str">
        <f t="shared" si="14"/>
        <v>Normal Merchant Day</v>
      </c>
      <c r="O499" s="7">
        <f t="shared" si="15"/>
        <v>46032</v>
      </c>
    </row>
    <row r="500" spans="1:15" x14ac:dyDescent="0.3">
      <c r="A500" t="s">
        <v>513</v>
      </c>
      <c r="B500">
        <v>154</v>
      </c>
      <c r="C500">
        <v>31</v>
      </c>
      <c r="D500" s="1">
        <v>46036.351388888892</v>
      </c>
      <c r="E500">
        <v>499</v>
      </c>
      <c r="F500" t="s">
        <v>9</v>
      </c>
      <c r="G500" t="s">
        <v>10</v>
      </c>
      <c r="H500">
        <v>100</v>
      </c>
      <c r="I500" t="str">
        <f>IFERROR(VLOOKUP(C500,Merchants!$A$2:$D$41,2,FALSE),"Merchant not found")</f>
        <v>Merchant_031</v>
      </c>
      <c r="J500" t="str">
        <f>IFERROR(VLOOKUP(C500,Merchants!$A$2:$D$41,3,FALSE),"Merchant not found")</f>
        <v>bill_payment</v>
      </c>
      <c r="K500" t="str">
        <f>IFERROR(VLOOKUP(C500,Merchants!$A$2:$D$41,4,FALSE), "Merchant Not Fount")</f>
        <v>East</v>
      </c>
      <c r="L500" s="2">
        <f>HLOOKUP(F500,HLOOKUP_Reference!$A$1:$E$2,2,FALSE)</f>
        <v>6.4999999999999997E-3</v>
      </c>
      <c r="M500">
        <f>SUMIFS(Daily_Merchant_Pivot!$E:$E,Daily_Merchant_Pivot!$A:$A,C500,Daily_Merchant_Pivot!$D:$D,INT(D500))</f>
        <v>499</v>
      </c>
      <c r="N500" t="str">
        <f t="shared" si="14"/>
        <v>Normal Merchant Day</v>
      </c>
      <c r="O500" s="7">
        <f t="shared" si="15"/>
        <v>46036</v>
      </c>
    </row>
    <row r="501" spans="1:15" x14ac:dyDescent="0.3">
      <c r="A501" t="s">
        <v>514</v>
      </c>
      <c r="B501">
        <v>127</v>
      </c>
      <c r="C501">
        <v>32</v>
      </c>
      <c r="D501" s="1">
        <v>46025.469444444447</v>
      </c>
      <c r="E501">
        <v>149</v>
      </c>
      <c r="F501" t="s">
        <v>24</v>
      </c>
      <c r="G501" t="s">
        <v>10</v>
      </c>
      <c r="H501">
        <v>76</v>
      </c>
      <c r="I501" t="str">
        <f>IFERROR(VLOOKUP(C501,Merchants!$A$2:$D$41,2,FALSE),"Merchant not found")</f>
        <v>Merchant_032</v>
      </c>
      <c r="J501" t="str">
        <f>IFERROR(VLOOKUP(C501,Merchants!$A$2:$D$41,3,FALSE),"Merchant not found")</f>
        <v>food_delivery</v>
      </c>
      <c r="K501" t="str">
        <f>IFERROR(VLOOKUP(C501,Merchants!$A$2:$D$41,4,FALSE), "Merchant Not Fount")</f>
        <v>West</v>
      </c>
      <c r="L501" s="2">
        <f>HLOOKUP(F501,HLOOKUP_Reference!$A$1:$E$2,2,FALSE)</f>
        <v>1.4999999999999999E-2</v>
      </c>
      <c r="M501">
        <f>SUMIFS(Daily_Merchant_Pivot!$E:$E,Daily_Merchant_Pivot!$A:$A,C501,Daily_Merchant_Pivot!$D:$D,INT(D501))</f>
        <v>149</v>
      </c>
      <c r="N501" t="str">
        <f t="shared" si="14"/>
        <v>Normal Merchant Day</v>
      </c>
      <c r="O501" s="7">
        <f t="shared" si="15"/>
        <v>46025</v>
      </c>
    </row>
    <row r="502" spans="1:15" x14ac:dyDescent="0.3">
      <c r="A502" t="s">
        <v>515</v>
      </c>
      <c r="B502">
        <v>351</v>
      </c>
      <c r="C502">
        <v>7</v>
      </c>
      <c r="D502" s="1">
        <v>46052.25</v>
      </c>
      <c r="E502">
        <v>1999</v>
      </c>
      <c r="F502" t="s">
        <v>24</v>
      </c>
      <c r="G502" t="s">
        <v>38</v>
      </c>
      <c r="H502">
        <v>79</v>
      </c>
      <c r="I502" t="str">
        <f>IFERROR(VLOOKUP(C502,Merchants!$A$2:$D$41,2,FALSE),"Merchant not found")</f>
        <v>Merchant_007</v>
      </c>
      <c r="J502" t="str">
        <f>IFERROR(VLOOKUP(C502,Merchants!$A$2:$D$41,3,FALSE),"Merchant not found")</f>
        <v>food_delivery</v>
      </c>
      <c r="K502" t="str">
        <f>IFERROR(VLOOKUP(C502,Merchants!$A$2:$D$41,4,FALSE), "Merchant Not Fount")</f>
        <v>East</v>
      </c>
      <c r="L502" s="2">
        <f>HLOOKUP(F502,HLOOKUP_Reference!$A$1:$E$2,2,FALSE)</f>
        <v>1.4999999999999999E-2</v>
      </c>
      <c r="M502">
        <f>SUMIFS(Daily_Merchant_Pivot!$E:$E,Daily_Merchant_Pivot!$A:$A,C502,Daily_Merchant_Pivot!$D:$D,INT(D502))</f>
        <v>1999</v>
      </c>
      <c r="N502" t="str">
        <f t="shared" si="14"/>
        <v>Normal Merchant Day</v>
      </c>
      <c r="O502" s="7">
        <f t="shared" si="15"/>
        <v>46052</v>
      </c>
    </row>
    <row r="503" spans="1:15" x14ac:dyDescent="0.3">
      <c r="A503" t="s">
        <v>516</v>
      </c>
      <c r="B503">
        <v>352</v>
      </c>
      <c r="C503">
        <v>40</v>
      </c>
      <c r="D503" s="1">
        <v>46033.5</v>
      </c>
      <c r="E503">
        <v>4999</v>
      </c>
      <c r="F503" t="s">
        <v>24</v>
      </c>
      <c r="G503" t="s">
        <v>38</v>
      </c>
      <c r="H503">
        <v>95</v>
      </c>
      <c r="I503" t="str">
        <f>IFERROR(VLOOKUP(C503,Merchants!$A$2:$D$41,2,FALSE),"Merchant not found")</f>
        <v>Merchant_040</v>
      </c>
      <c r="J503" t="str">
        <f>IFERROR(VLOOKUP(C503,Merchants!$A$2:$D$41,3,FALSE),"Merchant not found")</f>
        <v>entertainment</v>
      </c>
      <c r="K503" t="str">
        <f>IFERROR(VLOOKUP(C503,Merchants!$A$2:$D$41,4,FALSE), "Merchant Not Fount")</f>
        <v>South</v>
      </c>
      <c r="L503" s="2">
        <f>HLOOKUP(F503,HLOOKUP_Reference!$A$1:$E$2,2,FALSE)</f>
        <v>1.4999999999999999E-2</v>
      </c>
      <c r="M503">
        <f>SUMIFS(Daily_Merchant_Pivot!$E:$E,Daily_Merchant_Pivot!$A:$A,C503,Daily_Merchant_Pivot!$D:$D,INT(D503))</f>
        <v>4999</v>
      </c>
      <c r="N503" t="str">
        <f t="shared" si="14"/>
        <v>Normal Merchant Day</v>
      </c>
      <c r="O503" s="7">
        <f t="shared" si="15"/>
        <v>46033</v>
      </c>
    </row>
    <row r="504" spans="1:15" x14ac:dyDescent="0.3">
      <c r="A504" t="s">
        <v>517</v>
      </c>
      <c r="B504">
        <v>353</v>
      </c>
      <c r="C504">
        <v>28</v>
      </c>
      <c r="D504" s="1">
        <v>46043.583333333336</v>
      </c>
      <c r="E504">
        <v>1999</v>
      </c>
      <c r="F504" t="s">
        <v>24</v>
      </c>
      <c r="G504" t="s">
        <v>38</v>
      </c>
      <c r="H504">
        <v>79</v>
      </c>
      <c r="I504" t="str">
        <f>IFERROR(VLOOKUP(C504,Merchants!$A$2:$D$41,2,FALSE),"Merchant not found")</f>
        <v>Merchant_028</v>
      </c>
      <c r="J504" t="str">
        <f>IFERROR(VLOOKUP(C504,Merchants!$A$2:$D$41,3,FALSE),"Merchant not found")</f>
        <v>ecommerce</v>
      </c>
      <c r="K504" t="str">
        <f>IFERROR(VLOOKUP(C504,Merchants!$A$2:$D$41,4,FALSE), "Merchant Not Fount")</f>
        <v>South</v>
      </c>
      <c r="L504" s="2">
        <f>HLOOKUP(F504,HLOOKUP_Reference!$A$1:$E$2,2,FALSE)</f>
        <v>1.4999999999999999E-2</v>
      </c>
      <c r="M504">
        <f>SUMIFS(Daily_Merchant_Pivot!$E:$E,Daily_Merchant_Pivot!$A:$A,C504,Daily_Merchant_Pivot!$D:$D,INT(D504))</f>
        <v>1999</v>
      </c>
      <c r="N504" t="str">
        <f t="shared" si="14"/>
        <v>Normal Merchant Day</v>
      </c>
      <c r="O504" s="7">
        <f t="shared" si="15"/>
        <v>46043</v>
      </c>
    </row>
    <row r="505" spans="1:15" x14ac:dyDescent="0.3">
      <c r="A505" t="s">
        <v>518</v>
      </c>
      <c r="B505">
        <v>354</v>
      </c>
      <c r="C505">
        <v>13</v>
      </c>
      <c r="D505" s="1">
        <v>46043.791666666664</v>
      </c>
      <c r="E505">
        <v>4999</v>
      </c>
      <c r="F505" t="s">
        <v>24</v>
      </c>
      <c r="G505" t="s">
        <v>38</v>
      </c>
      <c r="H505">
        <v>80</v>
      </c>
      <c r="I505" t="str">
        <f>IFERROR(VLOOKUP(C505,Merchants!$A$2:$D$41,2,FALSE),"Merchant not found")</f>
        <v>Merchant_013</v>
      </c>
      <c r="J505" t="str">
        <f>IFERROR(VLOOKUP(C505,Merchants!$A$2:$D$41,3,FALSE),"Merchant not found")</f>
        <v>travel</v>
      </c>
      <c r="K505" t="str">
        <f>IFERROR(VLOOKUP(C505,Merchants!$A$2:$D$41,4,FALSE), "Merchant Not Fount")</f>
        <v>East</v>
      </c>
      <c r="L505" s="2">
        <f>HLOOKUP(F505,HLOOKUP_Reference!$A$1:$E$2,2,FALSE)</f>
        <v>1.4999999999999999E-2</v>
      </c>
      <c r="M505">
        <f>SUMIFS(Daily_Merchant_Pivot!$E:$E,Daily_Merchant_Pivot!$A:$A,C505,Daily_Merchant_Pivot!$D:$D,INT(D505))</f>
        <v>4999</v>
      </c>
      <c r="N505" t="str">
        <f t="shared" si="14"/>
        <v>Normal Merchant Day</v>
      </c>
      <c r="O505" s="7">
        <f t="shared" si="15"/>
        <v>46043</v>
      </c>
    </row>
    <row r="506" spans="1:15" x14ac:dyDescent="0.3">
      <c r="A506" t="s">
        <v>519</v>
      </c>
      <c r="B506">
        <v>355</v>
      </c>
      <c r="C506">
        <v>19</v>
      </c>
      <c r="D506" s="1">
        <v>46038.5</v>
      </c>
      <c r="E506">
        <v>4999</v>
      </c>
      <c r="F506" t="s">
        <v>24</v>
      </c>
      <c r="G506" t="s">
        <v>38</v>
      </c>
      <c r="H506">
        <v>100</v>
      </c>
      <c r="I506" t="str">
        <f>IFERROR(VLOOKUP(C506,Merchants!$A$2:$D$41,2,FALSE),"Merchant not found")</f>
        <v>Merchant_019</v>
      </c>
      <c r="J506" t="str">
        <f>IFERROR(VLOOKUP(C506,Merchants!$A$2:$D$41,3,FALSE),"Merchant not found")</f>
        <v>grocery</v>
      </c>
      <c r="K506" t="str">
        <f>IFERROR(VLOOKUP(C506,Merchants!$A$2:$D$41,4,FALSE), "Merchant Not Fount")</f>
        <v>North</v>
      </c>
      <c r="L506" s="2">
        <f>HLOOKUP(F506,HLOOKUP_Reference!$A$1:$E$2,2,FALSE)</f>
        <v>1.4999999999999999E-2</v>
      </c>
      <c r="M506">
        <f>SUMIFS(Daily_Merchant_Pivot!$E:$E,Daily_Merchant_Pivot!$A:$A,C506,Daily_Merchant_Pivot!$D:$D,INT(D506))</f>
        <v>4999</v>
      </c>
      <c r="N506" t="str">
        <f t="shared" si="14"/>
        <v>Normal Merchant Day</v>
      </c>
      <c r="O506" s="7">
        <f t="shared" si="15"/>
        <v>46038</v>
      </c>
    </row>
    <row r="507" spans="1:15" x14ac:dyDescent="0.3">
      <c r="A507" t="s">
        <v>520</v>
      </c>
      <c r="B507">
        <v>356</v>
      </c>
      <c r="C507">
        <v>25</v>
      </c>
      <c r="D507" s="1">
        <v>46051.291666666664</v>
      </c>
      <c r="E507">
        <v>2999</v>
      </c>
      <c r="F507" t="s">
        <v>24</v>
      </c>
      <c r="G507" t="s">
        <v>38</v>
      </c>
      <c r="H507">
        <v>96</v>
      </c>
      <c r="I507" t="str">
        <f>IFERROR(VLOOKUP(C507,Merchants!$A$2:$D$41,2,FALSE),"Merchant not found")</f>
        <v>Merchant_025</v>
      </c>
      <c r="J507" t="str">
        <f>IFERROR(VLOOKUP(C507,Merchants!$A$2:$D$41,3,FALSE),"Merchant not found")</f>
        <v>travel</v>
      </c>
      <c r="K507" t="str">
        <f>IFERROR(VLOOKUP(C507,Merchants!$A$2:$D$41,4,FALSE), "Merchant Not Fount")</f>
        <v>South</v>
      </c>
      <c r="L507" s="2">
        <f>HLOOKUP(F507,HLOOKUP_Reference!$A$1:$E$2,2,FALSE)</f>
        <v>1.4999999999999999E-2</v>
      </c>
      <c r="M507">
        <f>SUMIFS(Daily_Merchant_Pivot!$E:$E,Daily_Merchant_Pivot!$A:$A,C507,Daily_Merchant_Pivot!$D:$D,INT(D507))</f>
        <v>3048</v>
      </c>
      <c r="N507" t="str">
        <f t="shared" si="14"/>
        <v>Normal Merchant Day</v>
      </c>
      <c r="O507" s="7">
        <f t="shared" si="15"/>
        <v>46051</v>
      </c>
    </row>
    <row r="508" spans="1:15" x14ac:dyDescent="0.3">
      <c r="A508" t="s">
        <v>521</v>
      </c>
      <c r="B508">
        <v>357</v>
      </c>
      <c r="C508">
        <v>37</v>
      </c>
      <c r="D508" s="1">
        <v>46045.458333333336</v>
      </c>
      <c r="E508">
        <v>1999</v>
      </c>
      <c r="F508" t="s">
        <v>24</v>
      </c>
      <c r="G508" t="s">
        <v>38</v>
      </c>
      <c r="H508">
        <v>88</v>
      </c>
      <c r="I508" t="str">
        <f>IFERROR(VLOOKUP(C508,Merchants!$A$2:$D$41,2,FALSE),"Merchant not found")</f>
        <v>Merchant_037</v>
      </c>
      <c r="J508" t="str">
        <f>IFERROR(VLOOKUP(C508,Merchants!$A$2:$D$41,3,FALSE),"Merchant not found")</f>
        <v>entertainment</v>
      </c>
      <c r="K508" t="str">
        <f>IFERROR(VLOOKUP(C508,Merchants!$A$2:$D$41,4,FALSE), "Merchant Not Fount")</f>
        <v>South</v>
      </c>
      <c r="L508" s="2">
        <f>HLOOKUP(F508,HLOOKUP_Reference!$A$1:$E$2,2,FALSE)</f>
        <v>1.4999999999999999E-2</v>
      </c>
      <c r="M508">
        <f>SUMIFS(Daily_Merchant_Pivot!$E:$E,Daily_Merchant_Pivot!$A:$A,C508,Daily_Merchant_Pivot!$D:$D,INT(D508))</f>
        <v>1999</v>
      </c>
      <c r="N508" t="str">
        <f t="shared" si="14"/>
        <v>Normal Merchant Day</v>
      </c>
      <c r="O508" s="7">
        <f t="shared" si="15"/>
        <v>46045</v>
      </c>
    </row>
    <row r="509" spans="1:15" x14ac:dyDescent="0.3">
      <c r="A509" t="s">
        <v>522</v>
      </c>
      <c r="B509">
        <v>358</v>
      </c>
      <c r="C509">
        <v>36</v>
      </c>
      <c r="D509" s="1">
        <v>46050.208333333336</v>
      </c>
      <c r="E509">
        <v>999</v>
      </c>
      <c r="F509" t="s">
        <v>24</v>
      </c>
      <c r="G509" t="s">
        <v>38</v>
      </c>
      <c r="H509">
        <v>100</v>
      </c>
      <c r="I509" t="str">
        <f>IFERROR(VLOOKUP(C509,Merchants!$A$2:$D$41,2,FALSE),"Merchant not found")</f>
        <v>Merchant_036</v>
      </c>
      <c r="J509" t="str">
        <f>IFERROR(VLOOKUP(C509,Merchants!$A$2:$D$41,3,FALSE),"Merchant not found")</f>
        <v>entertainment</v>
      </c>
      <c r="K509" t="str">
        <f>IFERROR(VLOOKUP(C509,Merchants!$A$2:$D$41,4,FALSE), "Merchant Not Fount")</f>
        <v>East</v>
      </c>
      <c r="L509" s="2">
        <f>HLOOKUP(F509,HLOOKUP_Reference!$A$1:$E$2,2,FALSE)</f>
        <v>1.4999999999999999E-2</v>
      </c>
      <c r="M509">
        <f>SUMIFS(Daily_Merchant_Pivot!$E:$E,Daily_Merchant_Pivot!$A:$A,C509,Daily_Merchant_Pivot!$D:$D,INT(D509))</f>
        <v>999</v>
      </c>
      <c r="N509" t="str">
        <f t="shared" si="14"/>
        <v>Normal Merchant Day</v>
      </c>
      <c r="O509" s="7">
        <f t="shared" si="15"/>
        <v>46050</v>
      </c>
    </row>
    <row r="510" spans="1:15" x14ac:dyDescent="0.3">
      <c r="A510" t="s">
        <v>523</v>
      </c>
      <c r="B510">
        <v>359</v>
      </c>
      <c r="C510">
        <v>29</v>
      </c>
      <c r="D510" s="1">
        <v>46047.916666666664</v>
      </c>
      <c r="E510">
        <v>2999</v>
      </c>
      <c r="F510" t="s">
        <v>24</v>
      </c>
      <c r="G510" t="s">
        <v>38</v>
      </c>
      <c r="H510">
        <v>96</v>
      </c>
      <c r="I510" t="str">
        <f>IFERROR(VLOOKUP(C510,Merchants!$A$2:$D$41,2,FALSE),"Merchant not found")</f>
        <v>Merchant_029</v>
      </c>
      <c r="J510" t="str">
        <f>IFERROR(VLOOKUP(C510,Merchants!$A$2:$D$41,3,FALSE),"Merchant not found")</f>
        <v>ecommerce</v>
      </c>
      <c r="K510" t="str">
        <f>IFERROR(VLOOKUP(C510,Merchants!$A$2:$D$41,4,FALSE), "Merchant Not Fount")</f>
        <v>North</v>
      </c>
      <c r="L510" s="2">
        <f>HLOOKUP(F510,HLOOKUP_Reference!$A$1:$E$2,2,FALSE)</f>
        <v>1.4999999999999999E-2</v>
      </c>
      <c r="M510">
        <f>SUMIFS(Daily_Merchant_Pivot!$E:$E,Daily_Merchant_Pivot!$A:$A,C510,Daily_Merchant_Pivot!$D:$D,INT(D510))</f>
        <v>3896</v>
      </c>
      <c r="N510" t="str">
        <f t="shared" si="14"/>
        <v>Normal Merchant Day</v>
      </c>
      <c r="O510" s="7">
        <f t="shared" si="15"/>
        <v>46047</v>
      </c>
    </row>
    <row r="511" spans="1:15" x14ac:dyDescent="0.3">
      <c r="A511" t="s">
        <v>524</v>
      </c>
      <c r="B511">
        <v>360</v>
      </c>
      <c r="C511">
        <v>32</v>
      </c>
      <c r="D511" s="1">
        <v>46035.541666666664</v>
      </c>
      <c r="E511">
        <v>1999</v>
      </c>
      <c r="F511" t="s">
        <v>24</v>
      </c>
      <c r="G511" t="s">
        <v>38</v>
      </c>
      <c r="H511">
        <v>90</v>
      </c>
      <c r="I511" t="str">
        <f>IFERROR(VLOOKUP(C511,Merchants!$A$2:$D$41,2,FALSE),"Merchant not found")</f>
        <v>Merchant_032</v>
      </c>
      <c r="J511" t="str">
        <f>IFERROR(VLOOKUP(C511,Merchants!$A$2:$D$41,3,FALSE),"Merchant not found")</f>
        <v>food_delivery</v>
      </c>
      <c r="K511" t="str">
        <f>IFERROR(VLOOKUP(C511,Merchants!$A$2:$D$41,4,FALSE), "Merchant Not Fount")</f>
        <v>West</v>
      </c>
      <c r="L511" s="2">
        <f>HLOOKUP(F511,HLOOKUP_Reference!$A$1:$E$2,2,FALSE)</f>
        <v>1.4999999999999999E-2</v>
      </c>
      <c r="M511">
        <f>SUMIFS(Daily_Merchant_Pivot!$E:$E,Daily_Merchant_Pivot!$A:$A,C511,Daily_Merchant_Pivot!$D:$D,INT(D511))</f>
        <v>1999</v>
      </c>
      <c r="N511" t="str">
        <f t="shared" si="14"/>
        <v>Normal Merchant Day</v>
      </c>
      <c r="O511" s="7">
        <f t="shared" si="15"/>
        <v>46035</v>
      </c>
    </row>
    <row r="512" spans="1:15" x14ac:dyDescent="0.3">
      <c r="A512" t="s">
        <v>525</v>
      </c>
      <c r="B512">
        <v>361</v>
      </c>
      <c r="C512">
        <v>10</v>
      </c>
      <c r="D512" s="1">
        <v>46042.291666666664</v>
      </c>
      <c r="E512">
        <v>4999</v>
      </c>
      <c r="F512" t="s">
        <v>24</v>
      </c>
      <c r="G512" t="s">
        <v>38</v>
      </c>
      <c r="H512">
        <v>95</v>
      </c>
      <c r="I512" t="str">
        <f>IFERROR(VLOOKUP(C512,Merchants!$A$2:$D$41,2,FALSE),"Merchant not found")</f>
        <v>Merchant_010</v>
      </c>
      <c r="J512" t="str">
        <f>IFERROR(VLOOKUP(C512,Merchants!$A$2:$D$41,3,FALSE),"Merchant not found")</f>
        <v>grocery</v>
      </c>
      <c r="K512" t="str">
        <f>IFERROR(VLOOKUP(C512,Merchants!$A$2:$D$41,4,FALSE), "Merchant Not Fount")</f>
        <v>West</v>
      </c>
      <c r="L512" s="2">
        <f>HLOOKUP(F512,HLOOKUP_Reference!$A$1:$E$2,2,FALSE)</f>
        <v>1.4999999999999999E-2</v>
      </c>
      <c r="M512">
        <f>SUMIFS(Daily_Merchant_Pivot!$E:$E,Daily_Merchant_Pivot!$A:$A,C512,Daily_Merchant_Pivot!$D:$D,INT(D512))</f>
        <v>4999</v>
      </c>
      <c r="N512" t="str">
        <f t="shared" si="14"/>
        <v>Normal Merchant Day</v>
      </c>
      <c r="O512" s="7">
        <f t="shared" si="15"/>
        <v>46042</v>
      </c>
    </row>
    <row r="513" spans="1:15" x14ac:dyDescent="0.3">
      <c r="A513" t="s">
        <v>526</v>
      </c>
      <c r="B513">
        <v>362</v>
      </c>
      <c r="C513">
        <v>39</v>
      </c>
      <c r="D513" s="1">
        <v>46045.083333333336</v>
      </c>
      <c r="E513">
        <v>4999</v>
      </c>
      <c r="F513" t="s">
        <v>24</v>
      </c>
      <c r="G513" t="s">
        <v>38</v>
      </c>
      <c r="H513">
        <v>88</v>
      </c>
      <c r="I513" t="str">
        <f>IFERROR(VLOOKUP(C513,Merchants!$A$2:$D$41,2,FALSE),"Merchant not found")</f>
        <v>Merchant_039</v>
      </c>
      <c r="J513" t="str">
        <f>IFERROR(VLOOKUP(C513,Merchants!$A$2:$D$41,3,FALSE),"Merchant not found")</f>
        <v>entertainment</v>
      </c>
      <c r="K513" t="str">
        <f>IFERROR(VLOOKUP(C513,Merchants!$A$2:$D$41,4,FALSE), "Merchant Not Fount")</f>
        <v>North</v>
      </c>
      <c r="L513" s="2">
        <f>HLOOKUP(F513,HLOOKUP_Reference!$A$1:$E$2,2,FALSE)</f>
        <v>1.4999999999999999E-2</v>
      </c>
      <c r="M513">
        <f>SUMIFS(Daily_Merchant_Pivot!$E:$E,Daily_Merchant_Pivot!$A:$A,C513,Daily_Merchant_Pivot!$D:$D,INT(D513))</f>
        <v>4999</v>
      </c>
      <c r="N513" t="str">
        <f t="shared" si="14"/>
        <v>Normal Merchant Day</v>
      </c>
      <c r="O513" s="7">
        <f t="shared" si="15"/>
        <v>46045</v>
      </c>
    </row>
    <row r="514" spans="1:15" x14ac:dyDescent="0.3">
      <c r="A514" t="s">
        <v>527</v>
      </c>
      <c r="B514">
        <v>363</v>
      </c>
      <c r="C514">
        <v>27</v>
      </c>
      <c r="D514" s="1">
        <v>46045.708333333336</v>
      </c>
      <c r="E514">
        <v>999</v>
      </c>
      <c r="F514" t="s">
        <v>24</v>
      </c>
      <c r="G514" t="s">
        <v>38</v>
      </c>
      <c r="H514">
        <v>95</v>
      </c>
      <c r="I514" t="str">
        <f>IFERROR(VLOOKUP(C514,Merchants!$A$2:$D$41,2,FALSE),"Merchant not found")</f>
        <v>Merchant_027</v>
      </c>
      <c r="J514" t="str">
        <f>IFERROR(VLOOKUP(C514,Merchants!$A$2:$D$41,3,FALSE),"Merchant not found")</f>
        <v>ecommerce</v>
      </c>
      <c r="K514" t="str">
        <f>IFERROR(VLOOKUP(C514,Merchants!$A$2:$D$41,4,FALSE), "Merchant Not Fount")</f>
        <v>North</v>
      </c>
      <c r="L514" s="2">
        <f>HLOOKUP(F514,HLOOKUP_Reference!$A$1:$E$2,2,FALSE)</f>
        <v>1.4999999999999999E-2</v>
      </c>
      <c r="M514">
        <f>SUMIFS(Daily_Merchant_Pivot!$E:$E,Daily_Merchant_Pivot!$A:$A,C514,Daily_Merchant_Pivot!$D:$D,INT(D514))</f>
        <v>3998</v>
      </c>
      <c r="N514" t="str">
        <f t="shared" si="14"/>
        <v>Normal Merchant Day</v>
      </c>
      <c r="O514" s="7">
        <f t="shared" si="15"/>
        <v>46045</v>
      </c>
    </row>
    <row r="515" spans="1:15" x14ac:dyDescent="0.3">
      <c r="A515" t="s">
        <v>528</v>
      </c>
      <c r="B515">
        <v>364</v>
      </c>
      <c r="C515">
        <v>39</v>
      </c>
      <c r="D515" s="1">
        <v>46044.916666666664</v>
      </c>
      <c r="E515">
        <v>999</v>
      </c>
      <c r="F515" t="s">
        <v>24</v>
      </c>
      <c r="G515" t="s">
        <v>38</v>
      </c>
      <c r="H515">
        <v>73</v>
      </c>
      <c r="I515" t="str">
        <f>IFERROR(VLOOKUP(C515,Merchants!$A$2:$D$41,2,FALSE),"Merchant not found")</f>
        <v>Merchant_039</v>
      </c>
      <c r="J515" t="str">
        <f>IFERROR(VLOOKUP(C515,Merchants!$A$2:$D$41,3,FALSE),"Merchant not found")</f>
        <v>entertainment</v>
      </c>
      <c r="K515" t="str">
        <f>IFERROR(VLOOKUP(C515,Merchants!$A$2:$D$41,4,FALSE), "Merchant Not Fount")</f>
        <v>North</v>
      </c>
      <c r="L515" s="2">
        <f>HLOOKUP(F515,HLOOKUP_Reference!$A$1:$E$2,2,FALSE)</f>
        <v>1.4999999999999999E-2</v>
      </c>
      <c r="M515">
        <f>SUMIFS(Daily_Merchant_Pivot!$E:$E,Daily_Merchant_Pivot!$A:$A,C515,Daily_Merchant_Pivot!$D:$D,INT(D515))</f>
        <v>9796</v>
      </c>
      <c r="N515" t="str">
        <f t="shared" ref="N515:N548" si="16">IF(AND(M515&gt;5000,K515&lt;&gt;"East"),"High-Value Merchant Day","Normal Merchant Day")</f>
        <v>High-Value Merchant Day</v>
      </c>
      <c r="O515" s="7">
        <f t="shared" ref="O515:O548" si="17">INT(D515)</f>
        <v>46044</v>
      </c>
    </row>
    <row r="516" spans="1:15" x14ac:dyDescent="0.3">
      <c r="A516" t="s">
        <v>529</v>
      </c>
      <c r="B516">
        <v>365</v>
      </c>
      <c r="C516">
        <v>23</v>
      </c>
      <c r="D516" s="1">
        <v>46040.875</v>
      </c>
      <c r="E516">
        <v>1999</v>
      </c>
      <c r="F516" t="s">
        <v>24</v>
      </c>
      <c r="G516" t="s">
        <v>38</v>
      </c>
      <c r="H516">
        <v>90</v>
      </c>
      <c r="I516" t="str">
        <f>IFERROR(VLOOKUP(C516,Merchants!$A$2:$D$41,2,FALSE),"Merchant not found")</f>
        <v>Merchant_023</v>
      </c>
      <c r="J516" t="str">
        <f>IFERROR(VLOOKUP(C516,Merchants!$A$2:$D$41,3,FALSE),"Merchant not found")</f>
        <v>travel</v>
      </c>
      <c r="K516" t="str">
        <f>IFERROR(VLOOKUP(C516,Merchants!$A$2:$D$41,4,FALSE), "Merchant Not Fount")</f>
        <v>North</v>
      </c>
      <c r="L516" s="2">
        <f>HLOOKUP(F516,HLOOKUP_Reference!$A$1:$E$2,2,FALSE)</f>
        <v>1.4999999999999999E-2</v>
      </c>
      <c r="M516">
        <f>SUMIFS(Daily_Merchant_Pivot!$E:$E,Daily_Merchant_Pivot!$A:$A,C516,Daily_Merchant_Pivot!$D:$D,INT(D516))</f>
        <v>1999</v>
      </c>
      <c r="N516" t="str">
        <f t="shared" si="16"/>
        <v>Normal Merchant Day</v>
      </c>
      <c r="O516" s="7">
        <f t="shared" si="17"/>
        <v>46040</v>
      </c>
    </row>
    <row r="517" spans="1:15" x14ac:dyDescent="0.3">
      <c r="A517" t="s">
        <v>530</v>
      </c>
      <c r="B517">
        <v>314</v>
      </c>
      <c r="C517">
        <v>26</v>
      </c>
      <c r="D517" s="1">
        <v>46024.75</v>
      </c>
      <c r="E517">
        <v>399</v>
      </c>
      <c r="F517" t="s">
        <v>24</v>
      </c>
      <c r="G517" t="s">
        <v>25</v>
      </c>
      <c r="H517">
        <v>87</v>
      </c>
      <c r="I517" t="str">
        <f>IFERROR(VLOOKUP(C517,Merchants!$A$2:$D$41,2,FALSE),"Merchant not found")</f>
        <v>Merchant_026</v>
      </c>
      <c r="J517" t="str">
        <f>IFERROR(VLOOKUP(C517,Merchants!$A$2:$D$41,3,FALSE),"Merchant not found")</f>
        <v>food_delivery</v>
      </c>
      <c r="K517" t="str">
        <f>IFERROR(VLOOKUP(C517,Merchants!$A$2:$D$41,4,FALSE), "Merchant Not Fount")</f>
        <v>East</v>
      </c>
      <c r="L517" s="2">
        <f>HLOOKUP(F517,HLOOKUP_Reference!$A$1:$E$2,2,FALSE)</f>
        <v>1.4999999999999999E-2</v>
      </c>
      <c r="M517">
        <f>SUMIFS(Daily_Merchant_Pivot!$E:$E,Daily_Merchant_Pivot!$A:$A,C517,Daily_Merchant_Pivot!$D:$D,INT(D517))</f>
        <v>399</v>
      </c>
      <c r="N517" t="str">
        <f t="shared" si="16"/>
        <v>Normal Merchant Day</v>
      </c>
      <c r="O517" s="7">
        <f t="shared" si="17"/>
        <v>46024</v>
      </c>
    </row>
    <row r="518" spans="1:15" x14ac:dyDescent="0.3">
      <c r="A518" t="s">
        <v>531</v>
      </c>
      <c r="B518">
        <v>314</v>
      </c>
      <c r="C518">
        <v>7</v>
      </c>
      <c r="D518" s="1">
        <v>46024.750694444447</v>
      </c>
      <c r="E518">
        <v>299</v>
      </c>
      <c r="F518" t="s">
        <v>24</v>
      </c>
      <c r="G518" t="s">
        <v>25</v>
      </c>
      <c r="H518">
        <v>66</v>
      </c>
      <c r="I518" t="str">
        <f>IFERROR(VLOOKUP(C518,Merchants!$A$2:$D$41,2,FALSE),"Merchant not found")</f>
        <v>Merchant_007</v>
      </c>
      <c r="J518" t="str">
        <f>IFERROR(VLOOKUP(C518,Merchants!$A$2:$D$41,3,FALSE),"Merchant not found")</f>
        <v>food_delivery</v>
      </c>
      <c r="K518" t="str">
        <f>IFERROR(VLOOKUP(C518,Merchants!$A$2:$D$41,4,FALSE), "Merchant Not Fount")</f>
        <v>East</v>
      </c>
      <c r="L518" s="2">
        <f>HLOOKUP(F518,HLOOKUP_Reference!$A$1:$E$2,2,FALSE)</f>
        <v>1.4999999999999999E-2</v>
      </c>
      <c r="M518">
        <f>SUMIFS(Daily_Merchant_Pivot!$E:$E,Daily_Merchant_Pivot!$A:$A,C518,Daily_Merchant_Pivot!$D:$D,INT(D518))</f>
        <v>3797</v>
      </c>
      <c r="N518" t="str">
        <f t="shared" si="16"/>
        <v>Normal Merchant Day</v>
      </c>
      <c r="O518" s="7">
        <f t="shared" si="17"/>
        <v>46024</v>
      </c>
    </row>
    <row r="519" spans="1:15" x14ac:dyDescent="0.3">
      <c r="A519" t="s">
        <v>532</v>
      </c>
      <c r="B519">
        <v>314</v>
      </c>
      <c r="C519">
        <v>17</v>
      </c>
      <c r="D519" s="1">
        <v>46024.751388888886</v>
      </c>
      <c r="E519">
        <v>299</v>
      </c>
      <c r="F519" t="s">
        <v>24</v>
      </c>
      <c r="G519" t="s">
        <v>25</v>
      </c>
      <c r="H519">
        <v>92</v>
      </c>
      <c r="I519" t="str">
        <f>IFERROR(VLOOKUP(C519,Merchants!$A$2:$D$41,2,FALSE),"Merchant not found")</f>
        <v>Merchant_017</v>
      </c>
      <c r="J519" t="str">
        <f>IFERROR(VLOOKUP(C519,Merchants!$A$2:$D$41,3,FALSE),"Merchant not found")</f>
        <v>grocery</v>
      </c>
      <c r="K519" t="str">
        <f>IFERROR(VLOOKUP(C519,Merchants!$A$2:$D$41,4,FALSE), "Merchant Not Fount")</f>
        <v>North</v>
      </c>
      <c r="L519" s="2">
        <f>HLOOKUP(F519,HLOOKUP_Reference!$A$1:$E$2,2,FALSE)</f>
        <v>1.4999999999999999E-2</v>
      </c>
      <c r="M519">
        <f>SUMIFS(Daily_Merchant_Pivot!$E:$E,Daily_Merchant_Pivot!$A:$A,C519,Daily_Merchant_Pivot!$D:$D,INT(D519))</f>
        <v>299</v>
      </c>
      <c r="N519" t="str">
        <f t="shared" si="16"/>
        <v>Normal Merchant Day</v>
      </c>
      <c r="O519" s="7">
        <f t="shared" si="17"/>
        <v>46024</v>
      </c>
    </row>
    <row r="520" spans="1:15" x14ac:dyDescent="0.3">
      <c r="A520" t="s">
        <v>533</v>
      </c>
      <c r="B520">
        <v>314</v>
      </c>
      <c r="C520">
        <v>34</v>
      </c>
      <c r="D520" s="1">
        <v>46024.752083333333</v>
      </c>
      <c r="E520">
        <v>499</v>
      </c>
      <c r="F520" t="s">
        <v>24</v>
      </c>
      <c r="G520" t="s">
        <v>10</v>
      </c>
      <c r="H520">
        <v>74</v>
      </c>
      <c r="I520" t="str">
        <f>IFERROR(VLOOKUP(C520,Merchants!$A$2:$D$41,2,FALSE),"Merchant not found")</f>
        <v>Merchant_034</v>
      </c>
      <c r="J520" t="str">
        <f>IFERROR(VLOOKUP(C520,Merchants!$A$2:$D$41,3,FALSE),"Merchant not found")</f>
        <v>travel</v>
      </c>
      <c r="K520" t="str">
        <f>IFERROR(VLOOKUP(C520,Merchants!$A$2:$D$41,4,FALSE), "Merchant Not Fount")</f>
        <v>South</v>
      </c>
      <c r="L520" s="2">
        <f>HLOOKUP(F520,HLOOKUP_Reference!$A$1:$E$2,2,FALSE)</f>
        <v>1.4999999999999999E-2</v>
      </c>
      <c r="M520">
        <f>SUMIFS(Daily_Merchant_Pivot!$E:$E,Daily_Merchant_Pivot!$A:$A,C520,Daily_Merchant_Pivot!$D:$D,INT(D520))</f>
        <v>548</v>
      </c>
      <c r="N520" t="str">
        <f t="shared" si="16"/>
        <v>Normal Merchant Day</v>
      </c>
      <c r="O520" s="7">
        <f t="shared" si="17"/>
        <v>46024</v>
      </c>
    </row>
    <row r="521" spans="1:15" x14ac:dyDescent="0.3">
      <c r="A521" t="s">
        <v>534</v>
      </c>
      <c r="B521">
        <v>229</v>
      </c>
      <c r="C521">
        <v>30</v>
      </c>
      <c r="D521" s="1">
        <v>46034.5</v>
      </c>
      <c r="E521">
        <v>499</v>
      </c>
      <c r="F521" t="s">
        <v>24</v>
      </c>
      <c r="G521" t="s">
        <v>25</v>
      </c>
      <c r="H521">
        <v>92</v>
      </c>
      <c r="I521" t="str">
        <f>IFERROR(VLOOKUP(C521,Merchants!$A$2:$D$41,2,FALSE),"Merchant not found")</f>
        <v>Merchant_030</v>
      </c>
      <c r="J521" t="str">
        <f>IFERROR(VLOOKUP(C521,Merchants!$A$2:$D$41,3,FALSE),"Merchant not found")</f>
        <v>travel</v>
      </c>
      <c r="K521" t="str">
        <f>IFERROR(VLOOKUP(C521,Merchants!$A$2:$D$41,4,FALSE), "Merchant Not Fount")</f>
        <v>West</v>
      </c>
      <c r="L521" s="2">
        <f>HLOOKUP(F521,HLOOKUP_Reference!$A$1:$E$2,2,FALSE)</f>
        <v>1.4999999999999999E-2</v>
      </c>
      <c r="M521">
        <f>SUMIFS(Daily_Merchant_Pivot!$E:$E,Daily_Merchant_Pivot!$A:$A,C521,Daily_Merchant_Pivot!$D:$D,INT(D521))</f>
        <v>499</v>
      </c>
      <c r="N521" t="str">
        <f t="shared" si="16"/>
        <v>Normal Merchant Day</v>
      </c>
      <c r="O521" s="7">
        <f t="shared" si="17"/>
        <v>46034</v>
      </c>
    </row>
    <row r="522" spans="1:15" x14ac:dyDescent="0.3">
      <c r="A522" t="s">
        <v>535</v>
      </c>
      <c r="B522">
        <v>229</v>
      </c>
      <c r="C522">
        <v>10</v>
      </c>
      <c r="D522" s="1">
        <v>46034.500694444447</v>
      </c>
      <c r="E522">
        <v>399</v>
      </c>
      <c r="F522" t="s">
        <v>24</v>
      </c>
      <c r="G522" t="s">
        <v>25</v>
      </c>
      <c r="H522">
        <v>61</v>
      </c>
      <c r="I522" t="str">
        <f>IFERROR(VLOOKUP(C522,Merchants!$A$2:$D$41,2,FALSE),"Merchant not found")</f>
        <v>Merchant_010</v>
      </c>
      <c r="J522" t="str">
        <f>IFERROR(VLOOKUP(C522,Merchants!$A$2:$D$41,3,FALSE),"Merchant not found")</f>
        <v>grocery</v>
      </c>
      <c r="K522" t="str">
        <f>IFERROR(VLOOKUP(C522,Merchants!$A$2:$D$41,4,FALSE), "Merchant Not Fount")</f>
        <v>West</v>
      </c>
      <c r="L522" s="2">
        <f>HLOOKUP(F522,HLOOKUP_Reference!$A$1:$E$2,2,FALSE)</f>
        <v>1.4999999999999999E-2</v>
      </c>
      <c r="M522">
        <f>SUMIFS(Daily_Merchant_Pivot!$E:$E,Daily_Merchant_Pivot!$A:$A,C522,Daily_Merchant_Pivot!$D:$D,INT(D522))</f>
        <v>399</v>
      </c>
      <c r="N522" t="str">
        <f t="shared" si="16"/>
        <v>Normal Merchant Day</v>
      </c>
      <c r="O522" s="7">
        <f t="shared" si="17"/>
        <v>46034</v>
      </c>
    </row>
    <row r="523" spans="1:15" x14ac:dyDescent="0.3">
      <c r="A523" t="s">
        <v>536</v>
      </c>
      <c r="B523">
        <v>229</v>
      </c>
      <c r="C523">
        <v>31</v>
      </c>
      <c r="D523" s="1">
        <v>46034.501388888886</v>
      </c>
      <c r="E523">
        <v>299</v>
      </c>
      <c r="F523" t="s">
        <v>24</v>
      </c>
      <c r="G523" t="s">
        <v>25</v>
      </c>
      <c r="H523">
        <v>78</v>
      </c>
      <c r="I523" t="str">
        <f>IFERROR(VLOOKUP(C523,Merchants!$A$2:$D$41,2,FALSE),"Merchant not found")</f>
        <v>Merchant_031</v>
      </c>
      <c r="J523" t="str">
        <f>IFERROR(VLOOKUP(C523,Merchants!$A$2:$D$41,3,FALSE),"Merchant not found")</f>
        <v>bill_payment</v>
      </c>
      <c r="K523" t="str">
        <f>IFERROR(VLOOKUP(C523,Merchants!$A$2:$D$41,4,FALSE), "Merchant Not Fount")</f>
        <v>East</v>
      </c>
      <c r="L523" s="2">
        <f>HLOOKUP(F523,HLOOKUP_Reference!$A$1:$E$2,2,FALSE)</f>
        <v>1.4999999999999999E-2</v>
      </c>
      <c r="M523">
        <f>SUMIFS(Daily_Merchant_Pivot!$E:$E,Daily_Merchant_Pivot!$A:$A,C523,Daily_Merchant_Pivot!$D:$D,INT(D523))</f>
        <v>598</v>
      </c>
      <c r="N523" t="str">
        <f t="shared" si="16"/>
        <v>Normal Merchant Day</v>
      </c>
      <c r="O523" s="7">
        <f t="shared" si="17"/>
        <v>46034</v>
      </c>
    </row>
    <row r="524" spans="1:15" x14ac:dyDescent="0.3">
      <c r="A524" t="s">
        <v>537</v>
      </c>
      <c r="B524">
        <v>229</v>
      </c>
      <c r="C524">
        <v>27</v>
      </c>
      <c r="D524" s="1">
        <v>46034.502083333333</v>
      </c>
      <c r="E524">
        <v>299</v>
      </c>
      <c r="F524" t="s">
        <v>24</v>
      </c>
      <c r="G524" t="s">
        <v>10</v>
      </c>
      <c r="H524">
        <v>67</v>
      </c>
      <c r="I524" t="str">
        <f>IFERROR(VLOOKUP(C524,Merchants!$A$2:$D$41,2,FALSE),"Merchant not found")</f>
        <v>Merchant_027</v>
      </c>
      <c r="J524" t="str">
        <f>IFERROR(VLOOKUP(C524,Merchants!$A$2:$D$41,3,FALSE),"Merchant not found")</f>
        <v>ecommerce</v>
      </c>
      <c r="K524" t="str">
        <f>IFERROR(VLOOKUP(C524,Merchants!$A$2:$D$41,4,FALSE), "Merchant Not Fount")</f>
        <v>North</v>
      </c>
      <c r="L524" s="2">
        <f>HLOOKUP(F524,HLOOKUP_Reference!$A$1:$E$2,2,FALSE)</f>
        <v>1.4999999999999999E-2</v>
      </c>
      <c r="M524">
        <f>SUMIFS(Daily_Merchant_Pivot!$E:$E,Daily_Merchant_Pivot!$A:$A,C524,Daily_Merchant_Pivot!$D:$D,INT(D524))</f>
        <v>299</v>
      </c>
      <c r="N524" t="str">
        <f t="shared" si="16"/>
        <v>Normal Merchant Day</v>
      </c>
      <c r="O524" s="7">
        <f t="shared" si="17"/>
        <v>46034</v>
      </c>
    </row>
    <row r="525" spans="1:15" x14ac:dyDescent="0.3">
      <c r="A525" t="s">
        <v>538</v>
      </c>
      <c r="B525">
        <v>73</v>
      </c>
      <c r="C525">
        <v>22</v>
      </c>
      <c r="D525" s="1">
        <v>46034.375</v>
      </c>
      <c r="E525">
        <v>399</v>
      </c>
      <c r="F525" t="s">
        <v>24</v>
      </c>
      <c r="G525" t="s">
        <v>25</v>
      </c>
      <c r="H525">
        <v>73</v>
      </c>
      <c r="I525" t="str">
        <f>IFERROR(VLOOKUP(C525,Merchants!$A$2:$D$41,2,FALSE),"Merchant not found")</f>
        <v>Merchant_022</v>
      </c>
      <c r="J525" t="str">
        <f>IFERROR(VLOOKUP(C525,Merchants!$A$2:$D$41,3,FALSE),"Merchant not found")</f>
        <v>travel</v>
      </c>
      <c r="K525" t="str">
        <f>IFERROR(VLOOKUP(C525,Merchants!$A$2:$D$41,4,FALSE), "Merchant Not Fount")</f>
        <v>South</v>
      </c>
      <c r="L525" s="2">
        <f>HLOOKUP(F525,HLOOKUP_Reference!$A$1:$E$2,2,FALSE)</f>
        <v>1.4999999999999999E-2</v>
      </c>
      <c r="M525">
        <f>SUMIFS(Daily_Merchant_Pivot!$E:$E,Daily_Merchant_Pivot!$A:$A,C525,Daily_Merchant_Pivot!$D:$D,INT(D525))</f>
        <v>1697</v>
      </c>
      <c r="N525" t="str">
        <f t="shared" si="16"/>
        <v>Normal Merchant Day</v>
      </c>
      <c r="O525" s="7">
        <f t="shared" si="17"/>
        <v>46034</v>
      </c>
    </row>
    <row r="526" spans="1:15" x14ac:dyDescent="0.3">
      <c r="A526" t="s">
        <v>539</v>
      </c>
      <c r="B526">
        <v>73</v>
      </c>
      <c r="C526">
        <v>34</v>
      </c>
      <c r="D526" s="1">
        <v>46034.375694444447</v>
      </c>
      <c r="E526">
        <v>399</v>
      </c>
      <c r="F526" t="s">
        <v>24</v>
      </c>
      <c r="G526" t="s">
        <v>25</v>
      </c>
      <c r="H526">
        <v>82</v>
      </c>
      <c r="I526" t="str">
        <f>IFERROR(VLOOKUP(C526,Merchants!$A$2:$D$41,2,FALSE),"Merchant not found")</f>
        <v>Merchant_034</v>
      </c>
      <c r="J526" t="str">
        <f>IFERROR(VLOOKUP(C526,Merchants!$A$2:$D$41,3,FALSE),"Merchant not found")</f>
        <v>travel</v>
      </c>
      <c r="K526" t="str">
        <f>IFERROR(VLOOKUP(C526,Merchants!$A$2:$D$41,4,FALSE), "Merchant Not Fount")</f>
        <v>South</v>
      </c>
      <c r="L526" s="2">
        <f>HLOOKUP(F526,HLOOKUP_Reference!$A$1:$E$2,2,FALSE)</f>
        <v>1.4999999999999999E-2</v>
      </c>
      <c r="M526">
        <f>SUMIFS(Daily_Merchant_Pivot!$E:$E,Daily_Merchant_Pivot!$A:$A,C526,Daily_Merchant_Pivot!$D:$D,INT(D526))</f>
        <v>399</v>
      </c>
      <c r="N526" t="str">
        <f t="shared" si="16"/>
        <v>Normal Merchant Day</v>
      </c>
      <c r="O526" s="7">
        <f t="shared" si="17"/>
        <v>46034</v>
      </c>
    </row>
    <row r="527" spans="1:15" x14ac:dyDescent="0.3">
      <c r="A527" t="s">
        <v>540</v>
      </c>
      <c r="B527">
        <v>73</v>
      </c>
      <c r="C527">
        <v>31</v>
      </c>
      <c r="D527" s="1">
        <v>46034.376388888886</v>
      </c>
      <c r="E527">
        <v>299</v>
      </c>
      <c r="F527" t="s">
        <v>24</v>
      </c>
      <c r="G527" t="s">
        <v>25</v>
      </c>
      <c r="H527">
        <v>88</v>
      </c>
      <c r="I527" t="str">
        <f>IFERROR(VLOOKUP(C527,Merchants!$A$2:$D$41,2,FALSE),"Merchant not found")</f>
        <v>Merchant_031</v>
      </c>
      <c r="J527" t="str">
        <f>IFERROR(VLOOKUP(C527,Merchants!$A$2:$D$41,3,FALSE),"Merchant not found")</f>
        <v>bill_payment</v>
      </c>
      <c r="K527" t="str">
        <f>IFERROR(VLOOKUP(C527,Merchants!$A$2:$D$41,4,FALSE), "Merchant Not Fount")</f>
        <v>East</v>
      </c>
      <c r="L527" s="2">
        <f>HLOOKUP(F527,HLOOKUP_Reference!$A$1:$E$2,2,FALSE)</f>
        <v>1.4999999999999999E-2</v>
      </c>
      <c r="M527">
        <f>SUMIFS(Daily_Merchant_Pivot!$E:$E,Daily_Merchant_Pivot!$A:$A,C527,Daily_Merchant_Pivot!$D:$D,INT(D527))</f>
        <v>598</v>
      </c>
      <c r="N527" t="str">
        <f t="shared" si="16"/>
        <v>Normal Merchant Day</v>
      </c>
      <c r="O527" s="7">
        <f t="shared" si="17"/>
        <v>46034</v>
      </c>
    </row>
    <row r="528" spans="1:15" x14ac:dyDescent="0.3">
      <c r="A528" t="s">
        <v>541</v>
      </c>
      <c r="B528">
        <v>73</v>
      </c>
      <c r="C528">
        <v>29</v>
      </c>
      <c r="D528" s="1">
        <v>46034.377083333333</v>
      </c>
      <c r="E528">
        <v>399</v>
      </c>
      <c r="F528" t="s">
        <v>24</v>
      </c>
      <c r="G528" t="s">
        <v>10</v>
      </c>
      <c r="H528">
        <v>64</v>
      </c>
      <c r="I528" t="str">
        <f>IFERROR(VLOOKUP(C528,Merchants!$A$2:$D$41,2,FALSE),"Merchant not found")</f>
        <v>Merchant_029</v>
      </c>
      <c r="J528" t="str">
        <f>IFERROR(VLOOKUP(C528,Merchants!$A$2:$D$41,3,FALSE),"Merchant not found")</f>
        <v>ecommerce</v>
      </c>
      <c r="K528" t="str">
        <f>IFERROR(VLOOKUP(C528,Merchants!$A$2:$D$41,4,FALSE), "Merchant Not Fount")</f>
        <v>North</v>
      </c>
      <c r="L528" s="2">
        <f>HLOOKUP(F528,HLOOKUP_Reference!$A$1:$E$2,2,FALSE)</f>
        <v>1.4999999999999999E-2</v>
      </c>
      <c r="M528">
        <f>SUMIFS(Daily_Merchant_Pivot!$E:$E,Daily_Merchant_Pivot!$A:$A,C528,Daily_Merchant_Pivot!$D:$D,INT(D528))</f>
        <v>399</v>
      </c>
      <c r="N528" t="str">
        <f t="shared" si="16"/>
        <v>Normal Merchant Day</v>
      </c>
      <c r="O528" s="7">
        <f t="shared" si="17"/>
        <v>46034</v>
      </c>
    </row>
    <row r="529" spans="1:15" x14ac:dyDescent="0.3">
      <c r="A529" t="s">
        <v>542</v>
      </c>
      <c r="B529">
        <v>154</v>
      </c>
      <c r="C529">
        <v>8</v>
      </c>
      <c r="D529" s="1">
        <v>46024.916666666664</v>
      </c>
      <c r="E529">
        <v>299</v>
      </c>
      <c r="F529" t="s">
        <v>24</v>
      </c>
      <c r="G529" t="s">
        <v>25</v>
      </c>
      <c r="H529">
        <v>81</v>
      </c>
      <c r="I529" t="str">
        <f>IFERROR(VLOOKUP(C529,Merchants!$A$2:$D$41,2,FALSE),"Merchant not found")</f>
        <v>Merchant_008</v>
      </c>
      <c r="J529" t="str">
        <f>IFERROR(VLOOKUP(C529,Merchants!$A$2:$D$41,3,FALSE),"Merchant not found")</f>
        <v>food_delivery</v>
      </c>
      <c r="K529" t="str">
        <f>IFERROR(VLOOKUP(C529,Merchants!$A$2:$D$41,4,FALSE), "Merchant Not Fount")</f>
        <v>North</v>
      </c>
      <c r="L529" s="2">
        <f>HLOOKUP(F529,HLOOKUP_Reference!$A$1:$E$2,2,FALSE)</f>
        <v>1.4999999999999999E-2</v>
      </c>
      <c r="M529">
        <f>SUMIFS(Daily_Merchant_Pivot!$E:$E,Daily_Merchant_Pivot!$A:$A,C529,Daily_Merchant_Pivot!$D:$D,INT(D529))</f>
        <v>299</v>
      </c>
      <c r="N529" t="str">
        <f t="shared" si="16"/>
        <v>Normal Merchant Day</v>
      </c>
      <c r="O529" s="7">
        <f t="shared" si="17"/>
        <v>46024</v>
      </c>
    </row>
    <row r="530" spans="1:15" x14ac:dyDescent="0.3">
      <c r="A530" t="s">
        <v>543</v>
      </c>
      <c r="B530">
        <v>154</v>
      </c>
      <c r="C530">
        <v>7</v>
      </c>
      <c r="D530" s="1">
        <v>46024.917361111111</v>
      </c>
      <c r="E530">
        <v>499</v>
      </c>
      <c r="F530" t="s">
        <v>24</v>
      </c>
      <c r="G530" t="s">
        <v>25</v>
      </c>
      <c r="H530">
        <v>70</v>
      </c>
      <c r="I530" t="str">
        <f>IFERROR(VLOOKUP(C530,Merchants!$A$2:$D$41,2,FALSE),"Merchant not found")</f>
        <v>Merchant_007</v>
      </c>
      <c r="J530" t="str">
        <f>IFERROR(VLOOKUP(C530,Merchants!$A$2:$D$41,3,FALSE),"Merchant not found")</f>
        <v>food_delivery</v>
      </c>
      <c r="K530" t="str">
        <f>IFERROR(VLOOKUP(C530,Merchants!$A$2:$D$41,4,FALSE), "Merchant Not Fount")</f>
        <v>East</v>
      </c>
      <c r="L530" s="2">
        <f>HLOOKUP(F530,HLOOKUP_Reference!$A$1:$E$2,2,FALSE)</f>
        <v>1.4999999999999999E-2</v>
      </c>
      <c r="M530">
        <f>SUMIFS(Daily_Merchant_Pivot!$E:$E,Daily_Merchant_Pivot!$A:$A,C530,Daily_Merchant_Pivot!$D:$D,INT(D530))</f>
        <v>3797</v>
      </c>
      <c r="N530" t="str">
        <f t="shared" si="16"/>
        <v>Normal Merchant Day</v>
      </c>
      <c r="O530" s="7">
        <f t="shared" si="17"/>
        <v>46024</v>
      </c>
    </row>
    <row r="531" spans="1:15" x14ac:dyDescent="0.3">
      <c r="A531" t="s">
        <v>544</v>
      </c>
      <c r="B531">
        <v>154</v>
      </c>
      <c r="C531">
        <v>16</v>
      </c>
      <c r="D531" s="1">
        <v>46024.918055555558</v>
      </c>
      <c r="E531">
        <v>499</v>
      </c>
      <c r="F531" t="s">
        <v>24</v>
      </c>
      <c r="G531" t="s">
        <v>25</v>
      </c>
      <c r="H531">
        <v>71</v>
      </c>
      <c r="I531" t="str">
        <f>IFERROR(VLOOKUP(C531,Merchants!$A$2:$D$41,2,FALSE),"Merchant not found")</f>
        <v>Merchant_016</v>
      </c>
      <c r="J531" t="str">
        <f>IFERROR(VLOOKUP(C531,Merchants!$A$2:$D$41,3,FALSE),"Merchant not found")</f>
        <v>bill_payment</v>
      </c>
      <c r="K531" t="str">
        <f>IFERROR(VLOOKUP(C531,Merchants!$A$2:$D$41,4,FALSE), "Merchant Not Fount")</f>
        <v>West</v>
      </c>
      <c r="L531" s="2">
        <f>HLOOKUP(F531,HLOOKUP_Reference!$A$1:$E$2,2,FALSE)</f>
        <v>1.4999999999999999E-2</v>
      </c>
      <c r="M531">
        <f>SUMIFS(Daily_Merchant_Pivot!$E:$E,Daily_Merchant_Pivot!$A:$A,C531,Daily_Merchant_Pivot!$D:$D,INT(D531))</f>
        <v>499</v>
      </c>
      <c r="N531" t="str">
        <f t="shared" si="16"/>
        <v>Normal Merchant Day</v>
      </c>
      <c r="O531" s="7">
        <f t="shared" si="17"/>
        <v>46024</v>
      </c>
    </row>
    <row r="532" spans="1:15" x14ac:dyDescent="0.3">
      <c r="A532" t="s">
        <v>545</v>
      </c>
      <c r="B532">
        <v>154</v>
      </c>
      <c r="C532">
        <v>36</v>
      </c>
      <c r="D532" s="1">
        <v>46024.918749999997</v>
      </c>
      <c r="E532">
        <v>299</v>
      </c>
      <c r="F532" t="s">
        <v>24</v>
      </c>
      <c r="G532" t="s">
        <v>10</v>
      </c>
      <c r="H532">
        <v>81</v>
      </c>
      <c r="I532" t="str">
        <f>IFERROR(VLOOKUP(C532,Merchants!$A$2:$D$41,2,FALSE),"Merchant not found")</f>
        <v>Merchant_036</v>
      </c>
      <c r="J532" t="str">
        <f>IFERROR(VLOOKUP(C532,Merchants!$A$2:$D$41,3,FALSE),"Merchant not found")</f>
        <v>entertainment</v>
      </c>
      <c r="K532" t="str">
        <f>IFERROR(VLOOKUP(C532,Merchants!$A$2:$D$41,4,FALSE), "Merchant Not Fount")</f>
        <v>East</v>
      </c>
      <c r="L532" s="2">
        <f>HLOOKUP(F532,HLOOKUP_Reference!$A$1:$E$2,2,FALSE)</f>
        <v>1.4999999999999999E-2</v>
      </c>
      <c r="M532">
        <f>SUMIFS(Daily_Merchant_Pivot!$E:$E,Daily_Merchant_Pivot!$A:$A,C532,Daily_Merchant_Pivot!$D:$D,INT(D532))</f>
        <v>299</v>
      </c>
      <c r="N532" t="str">
        <f t="shared" si="16"/>
        <v>Normal Merchant Day</v>
      </c>
      <c r="O532" s="7">
        <f t="shared" si="17"/>
        <v>46024</v>
      </c>
    </row>
    <row r="533" spans="1:15" x14ac:dyDescent="0.3">
      <c r="A533" t="s">
        <v>546</v>
      </c>
      <c r="B533">
        <v>287</v>
      </c>
      <c r="C533">
        <v>15</v>
      </c>
      <c r="D533" s="1">
        <v>46036.583333333336</v>
      </c>
      <c r="E533">
        <v>399</v>
      </c>
      <c r="F533" t="s">
        <v>24</v>
      </c>
      <c r="G533" t="s">
        <v>25</v>
      </c>
      <c r="H533">
        <v>71</v>
      </c>
      <c r="I533" t="str">
        <f>IFERROR(VLOOKUP(C533,Merchants!$A$2:$D$41,2,FALSE),"Merchant not found")</f>
        <v>Merchant_015</v>
      </c>
      <c r="J533" t="str">
        <f>IFERROR(VLOOKUP(C533,Merchants!$A$2:$D$41,3,FALSE),"Merchant not found")</f>
        <v>travel</v>
      </c>
      <c r="K533" t="str">
        <f>IFERROR(VLOOKUP(C533,Merchants!$A$2:$D$41,4,FALSE), "Merchant Not Fount")</f>
        <v>North</v>
      </c>
      <c r="L533" s="2">
        <f>HLOOKUP(F533,HLOOKUP_Reference!$A$1:$E$2,2,FALSE)</f>
        <v>1.4999999999999999E-2</v>
      </c>
      <c r="M533">
        <f>SUMIFS(Daily_Merchant_Pivot!$E:$E,Daily_Merchant_Pivot!$A:$A,C533,Daily_Merchant_Pivot!$D:$D,INT(D533))</f>
        <v>399</v>
      </c>
      <c r="N533" t="str">
        <f t="shared" si="16"/>
        <v>Normal Merchant Day</v>
      </c>
      <c r="O533" s="7">
        <f t="shared" si="17"/>
        <v>46036</v>
      </c>
    </row>
    <row r="534" spans="1:15" x14ac:dyDescent="0.3">
      <c r="A534" t="s">
        <v>547</v>
      </c>
      <c r="B534">
        <v>287</v>
      </c>
      <c r="C534">
        <v>12</v>
      </c>
      <c r="D534" s="1">
        <v>46036.584027777775</v>
      </c>
      <c r="E534">
        <v>499</v>
      </c>
      <c r="F534" t="s">
        <v>24</v>
      </c>
      <c r="G534" t="s">
        <v>25</v>
      </c>
      <c r="H534">
        <v>87</v>
      </c>
      <c r="I534" t="str">
        <f>IFERROR(VLOOKUP(C534,Merchants!$A$2:$D$41,2,FALSE),"Merchant not found")</f>
        <v>Merchant_012</v>
      </c>
      <c r="J534" t="str">
        <f>IFERROR(VLOOKUP(C534,Merchants!$A$2:$D$41,3,FALSE),"Merchant not found")</f>
        <v>ecommerce</v>
      </c>
      <c r="K534" t="str">
        <f>IFERROR(VLOOKUP(C534,Merchants!$A$2:$D$41,4,FALSE), "Merchant Not Fount")</f>
        <v>East</v>
      </c>
      <c r="L534" s="2">
        <f>HLOOKUP(F534,HLOOKUP_Reference!$A$1:$E$2,2,FALSE)</f>
        <v>1.4999999999999999E-2</v>
      </c>
      <c r="M534">
        <f>SUMIFS(Daily_Merchant_Pivot!$E:$E,Daily_Merchant_Pivot!$A:$A,C534,Daily_Merchant_Pivot!$D:$D,INT(D534))</f>
        <v>548</v>
      </c>
      <c r="N534" t="str">
        <f t="shared" si="16"/>
        <v>Normal Merchant Day</v>
      </c>
      <c r="O534" s="7">
        <f t="shared" si="17"/>
        <v>46036</v>
      </c>
    </row>
    <row r="535" spans="1:15" x14ac:dyDescent="0.3">
      <c r="A535" t="s">
        <v>548</v>
      </c>
      <c r="B535">
        <v>287</v>
      </c>
      <c r="C535">
        <v>26</v>
      </c>
      <c r="D535" s="1">
        <v>46036.584722222222</v>
      </c>
      <c r="E535">
        <v>299</v>
      </c>
      <c r="F535" t="s">
        <v>24</v>
      </c>
      <c r="G535" t="s">
        <v>25</v>
      </c>
      <c r="H535">
        <v>72</v>
      </c>
      <c r="I535" t="str">
        <f>IFERROR(VLOOKUP(C535,Merchants!$A$2:$D$41,2,FALSE),"Merchant not found")</f>
        <v>Merchant_026</v>
      </c>
      <c r="J535" t="str">
        <f>IFERROR(VLOOKUP(C535,Merchants!$A$2:$D$41,3,FALSE),"Merchant not found")</f>
        <v>food_delivery</v>
      </c>
      <c r="K535" t="str">
        <f>IFERROR(VLOOKUP(C535,Merchants!$A$2:$D$41,4,FALSE), "Merchant Not Fount")</f>
        <v>East</v>
      </c>
      <c r="L535" s="2">
        <f>HLOOKUP(F535,HLOOKUP_Reference!$A$1:$E$2,2,FALSE)</f>
        <v>1.4999999999999999E-2</v>
      </c>
      <c r="M535">
        <f>SUMIFS(Daily_Merchant_Pivot!$E:$E,Daily_Merchant_Pivot!$A:$A,C535,Daily_Merchant_Pivot!$D:$D,INT(D535))</f>
        <v>299</v>
      </c>
      <c r="N535" t="str">
        <f t="shared" si="16"/>
        <v>Normal Merchant Day</v>
      </c>
      <c r="O535" s="7">
        <f t="shared" si="17"/>
        <v>46036</v>
      </c>
    </row>
    <row r="536" spans="1:15" x14ac:dyDescent="0.3">
      <c r="A536" t="s">
        <v>549</v>
      </c>
      <c r="B536">
        <v>287</v>
      </c>
      <c r="C536">
        <v>29</v>
      </c>
      <c r="D536" s="1">
        <v>46036.585416666669</v>
      </c>
      <c r="E536">
        <v>499</v>
      </c>
      <c r="F536" t="s">
        <v>24</v>
      </c>
      <c r="G536" t="s">
        <v>10</v>
      </c>
      <c r="H536">
        <v>87</v>
      </c>
      <c r="I536" t="str">
        <f>IFERROR(VLOOKUP(C536,Merchants!$A$2:$D$41,2,FALSE),"Merchant not found")</f>
        <v>Merchant_029</v>
      </c>
      <c r="J536" t="str">
        <f>IFERROR(VLOOKUP(C536,Merchants!$A$2:$D$41,3,FALSE),"Merchant not found")</f>
        <v>ecommerce</v>
      </c>
      <c r="K536" t="str">
        <f>IFERROR(VLOOKUP(C536,Merchants!$A$2:$D$41,4,FALSE), "Merchant Not Fount")</f>
        <v>North</v>
      </c>
      <c r="L536" s="2">
        <f>HLOOKUP(F536,HLOOKUP_Reference!$A$1:$E$2,2,FALSE)</f>
        <v>1.4999999999999999E-2</v>
      </c>
      <c r="M536">
        <f>SUMIFS(Daily_Merchant_Pivot!$E:$E,Daily_Merchant_Pivot!$A:$A,C536,Daily_Merchant_Pivot!$D:$D,INT(D536))</f>
        <v>1998</v>
      </c>
      <c r="N536" t="str">
        <f t="shared" si="16"/>
        <v>Normal Merchant Day</v>
      </c>
      <c r="O536" s="7">
        <f t="shared" si="17"/>
        <v>46036</v>
      </c>
    </row>
    <row r="537" spans="1:15" x14ac:dyDescent="0.3">
      <c r="A537" t="s">
        <v>550</v>
      </c>
      <c r="B537">
        <v>200</v>
      </c>
      <c r="C537">
        <v>14</v>
      </c>
      <c r="D537" s="1">
        <v>46023.916666666664</v>
      </c>
      <c r="E537">
        <v>299</v>
      </c>
      <c r="F537" t="s">
        <v>24</v>
      </c>
      <c r="G537" t="s">
        <v>25</v>
      </c>
      <c r="H537">
        <v>77</v>
      </c>
      <c r="I537" t="str">
        <f>IFERROR(VLOOKUP(C537,Merchants!$A$2:$D$41,2,FALSE),"Merchant not found")</f>
        <v>Merchant_014</v>
      </c>
      <c r="J537" t="str">
        <f>IFERROR(VLOOKUP(C537,Merchants!$A$2:$D$41,3,FALSE),"Merchant not found")</f>
        <v>grocery</v>
      </c>
      <c r="K537" t="str">
        <f>IFERROR(VLOOKUP(C537,Merchants!$A$2:$D$41,4,FALSE), "Merchant Not Fount")</f>
        <v>East</v>
      </c>
      <c r="L537" s="2">
        <f>HLOOKUP(F537,HLOOKUP_Reference!$A$1:$E$2,2,FALSE)</f>
        <v>1.4999999999999999E-2</v>
      </c>
      <c r="M537">
        <f>SUMIFS(Daily_Merchant_Pivot!$E:$E,Daily_Merchant_Pivot!$A:$A,C537,Daily_Merchant_Pivot!$D:$D,INT(D537))</f>
        <v>299</v>
      </c>
      <c r="N537" t="str">
        <f t="shared" si="16"/>
        <v>Normal Merchant Day</v>
      </c>
      <c r="O537" s="7">
        <f t="shared" si="17"/>
        <v>46023</v>
      </c>
    </row>
    <row r="538" spans="1:15" x14ac:dyDescent="0.3">
      <c r="A538" t="s">
        <v>551</v>
      </c>
      <c r="B538">
        <v>200</v>
      </c>
      <c r="C538">
        <v>5</v>
      </c>
      <c r="D538" s="1">
        <v>46023.917361111111</v>
      </c>
      <c r="E538">
        <v>499</v>
      </c>
      <c r="F538" t="s">
        <v>24</v>
      </c>
      <c r="G538" t="s">
        <v>25</v>
      </c>
      <c r="H538">
        <v>66</v>
      </c>
      <c r="I538" t="str">
        <f>IFERROR(VLOOKUP(C538,Merchants!$A$2:$D$41,2,FALSE),"Merchant not found")</f>
        <v>Merchant_005</v>
      </c>
      <c r="J538" t="str">
        <f>IFERROR(VLOOKUP(C538,Merchants!$A$2:$D$41,3,FALSE),"Merchant not found")</f>
        <v>recharge</v>
      </c>
      <c r="K538" t="str">
        <f>IFERROR(VLOOKUP(C538,Merchants!$A$2:$D$41,4,FALSE), "Merchant Not Fount")</f>
        <v>South</v>
      </c>
      <c r="L538" s="2">
        <f>HLOOKUP(F538,HLOOKUP_Reference!$A$1:$E$2,2,FALSE)</f>
        <v>1.4999999999999999E-2</v>
      </c>
      <c r="M538">
        <f>SUMIFS(Daily_Merchant_Pivot!$E:$E,Daily_Merchant_Pivot!$A:$A,C538,Daily_Merchant_Pivot!$D:$D,INT(D538))</f>
        <v>499</v>
      </c>
      <c r="N538" t="str">
        <f t="shared" si="16"/>
        <v>Normal Merchant Day</v>
      </c>
      <c r="O538" s="7">
        <f t="shared" si="17"/>
        <v>46023</v>
      </c>
    </row>
    <row r="539" spans="1:15" x14ac:dyDescent="0.3">
      <c r="A539" t="s">
        <v>552</v>
      </c>
      <c r="B539">
        <v>200</v>
      </c>
      <c r="C539">
        <v>35</v>
      </c>
      <c r="D539" s="1">
        <v>46023.918055555558</v>
      </c>
      <c r="E539">
        <v>299</v>
      </c>
      <c r="F539" t="s">
        <v>24</v>
      </c>
      <c r="G539" t="s">
        <v>25</v>
      </c>
      <c r="H539">
        <v>83</v>
      </c>
      <c r="I539" t="str">
        <f>IFERROR(VLOOKUP(C539,Merchants!$A$2:$D$41,2,FALSE),"Merchant not found")</f>
        <v>Merchant_035</v>
      </c>
      <c r="J539" t="str">
        <f>IFERROR(VLOOKUP(C539,Merchants!$A$2:$D$41,3,FALSE),"Merchant not found")</f>
        <v>recharge</v>
      </c>
      <c r="K539" t="str">
        <f>IFERROR(VLOOKUP(C539,Merchants!$A$2:$D$41,4,FALSE), "Merchant Not Fount")</f>
        <v>East</v>
      </c>
      <c r="L539" s="2">
        <f>HLOOKUP(F539,HLOOKUP_Reference!$A$1:$E$2,2,FALSE)</f>
        <v>1.4999999999999999E-2</v>
      </c>
      <c r="M539">
        <f>SUMIFS(Daily_Merchant_Pivot!$E:$E,Daily_Merchant_Pivot!$A:$A,C539,Daily_Merchant_Pivot!$D:$D,INT(D539))</f>
        <v>798</v>
      </c>
      <c r="N539" t="str">
        <f t="shared" si="16"/>
        <v>Normal Merchant Day</v>
      </c>
      <c r="O539" s="7">
        <f t="shared" si="17"/>
        <v>46023</v>
      </c>
    </row>
    <row r="540" spans="1:15" x14ac:dyDescent="0.3">
      <c r="A540" t="s">
        <v>553</v>
      </c>
      <c r="B540">
        <v>200</v>
      </c>
      <c r="C540">
        <v>21</v>
      </c>
      <c r="D540" s="1">
        <v>46023.918749999997</v>
      </c>
      <c r="E540">
        <v>299</v>
      </c>
      <c r="F540" t="s">
        <v>24</v>
      </c>
      <c r="G540" t="s">
        <v>10</v>
      </c>
      <c r="H540">
        <v>89</v>
      </c>
      <c r="I540" t="str">
        <f>IFERROR(VLOOKUP(C540,Merchants!$A$2:$D$41,2,FALSE),"Merchant not found")</f>
        <v>Merchant_021</v>
      </c>
      <c r="J540" t="str">
        <f>IFERROR(VLOOKUP(C540,Merchants!$A$2:$D$41,3,FALSE),"Merchant not found")</f>
        <v>food_delivery</v>
      </c>
      <c r="K540" t="str">
        <f>IFERROR(VLOOKUP(C540,Merchants!$A$2:$D$41,4,FALSE), "Merchant Not Fount")</f>
        <v>East</v>
      </c>
      <c r="L540" s="2">
        <f>HLOOKUP(F540,HLOOKUP_Reference!$A$1:$E$2,2,FALSE)</f>
        <v>1.4999999999999999E-2</v>
      </c>
      <c r="M540">
        <f>SUMIFS(Daily_Merchant_Pivot!$E:$E,Daily_Merchant_Pivot!$A:$A,C540,Daily_Merchant_Pivot!$D:$D,INT(D540))</f>
        <v>5298</v>
      </c>
      <c r="N540" t="str">
        <f t="shared" si="16"/>
        <v>Normal Merchant Day</v>
      </c>
      <c r="O540" s="7">
        <f t="shared" si="17"/>
        <v>46023</v>
      </c>
    </row>
    <row r="541" spans="1:15" x14ac:dyDescent="0.3">
      <c r="A541" t="s">
        <v>554</v>
      </c>
      <c r="B541">
        <v>59</v>
      </c>
      <c r="C541">
        <v>32</v>
      </c>
      <c r="D541" s="1">
        <v>46031.875</v>
      </c>
      <c r="E541">
        <v>499</v>
      </c>
      <c r="F541" t="s">
        <v>24</v>
      </c>
      <c r="G541" t="s">
        <v>25</v>
      </c>
      <c r="H541">
        <v>80</v>
      </c>
      <c r="I541" t="str">
        <f>IFERROR(VLOOKUP(C541,Merchants!$A$2:$D$41,2,FALSE),"Merchant not found")</f>
        <v>Merchant_032</v>
      </c>
      <c r="J541" t="str">
        <f>IFERROR(VLOOKUP(C541,Merchants!$A$2:$D$41,3,FALSE),"Merchant not found")</f>
        <v>food_delivery</v>
      </c>
      <c r="K541" t="str">
        <f>IFERROR(VLOOKUP(C541,Merchants!$A$2:$D$41,4,FALSE), "Merchant Not Fount")</f>
        <v>West</v>
      </c>
      <c r="L541" s="2">
        <f>HLOOKUP(F541,HLOOKUP_Reference!$A$1:$E$2,2,FALSE)</f>
        <v>1.4999999999999999E-2</v>
      </c>
      <c r="M541">
        <f>SUMIFS(Daily_Merchant_Pivot!$E:$E,Daily_Merchant_Pivot!$A:$A,C541,Daily_Merchant_Pivot!$D:$D,INT(D541))</f>
        <v>499</v>
      </c>
      <c r="N541" t="str">
        <f t="shared" si="16"/>
        <v>Normal Merchant Day</v>
      </c>
      <c r="O541" s="7">
        <f t="shared" si="17"/>
        <v>46031</v>
      </c>
    </row>
    <row r="542" spans="1:15" x14ac:dyDescent="0.3">
      <c r="A542" t="s">
        <v>555</v>
      </c>
      <c r="B542">
        <v>59</v>
      </c>
      <c r="C542">
        <v>39</v>
      </c>
      <c r="D542" s="1">
        <v>46031.875694444447</v>
      </c>
      <c r="E542">
        <v>399</v>
      </c>
      <c r="F542" t="s">
        <v>24</v>
      </c>
      <c r="G542" t="s">
        <v>25</v>
      </c>
      <c r="H542">
        <v>85</v>
      </c>
      <c r="I542" t="str">
        <f>IFERROR(VLOOKUP(C542,Merchants!$A$2:$D$41,2,FALSE),"Merchant not found")</f>
        <v>Merchant_039</v>
      </c>
      <c r="J542" t="str">
        <f>IFERROR(VLOOKUP(C542,Merchants!$A$2:$D$41,3,FALSE),"Merchant not found")</f>
        <v>entertainment</v>
      </c>
      <c r="K542" t="str">
        <f>IFERROR(VLOOKUP(C542,Merchants!$A$2:$D$41,4,FALSE), "Merchant Not Fount")</f>
        <v>North</v>
      </c>
      <c r="L542" s="2">
        <f>HLOOKUP(F542,HLOOKUP_Reference!$A$1:$E$2,2,FALSE)</f>
        <v>1.4999999999999999E-2</v>
      </c>
      <c r="M542">
        <f>SUMIFS(Daily_Merchant_Pivot!$E:$E,Daily_Merchant_Pivot!$A:$A,C542,Daily_Merchant_Pivot!$D:$D,INT(D542))</f>
        <v>399</v>
      </c>
      <c r="N542" t="str">
        <f t="shared" si="16"/>
        <v>Normal Merchant Day</v>
      </c>
      <c r="O542" s="7">
        <f t="shared" si="17"/>
        <v>46031</v>
      </c>
    </row>
    <row r="543" spans="1:15" x14ac:dyDescent="0.3">
      <c r="A543" t="s">
        <v>556</v>
      </c>
      <c r="B543">
        <v>59</v>
      </c>
      <c r="C543">
        <v>38</v>
      </c>
      <c r="D543" s="1">
        <v>46031.876388888886</v>
      </c>
      <c r="E543">
        <v>299</v>
      </c>
      <c r="F543" t="s">
        <v>24</v>
      </c>
      <c r="G543" t="s">
        <v>25</v>
      </c>
      <c r="H543">
        <v>82</v>
      </c>
      <c r="I543" t="str">
        <f>IFERROR(VLOOKUP(C543,Merchants!$A$2:$D$41,2,FALSE),"Merchant not found")</f>
        <v>Merchant_038</v>
      </c>
      <c r="J543" t="str">
        <f>IFERROR(VLOOKUP(C543,Merchants!$A$2:$D$41,3,FALSE),"Merchant not found")</f>
        <v>grocery</v>
      </c>
      <c r="K543" t="str">
        <f>IFERROR(VLOOKUP(C543,Merchants!$A$2:$D$41,4,FALSE), "Merchant Not Fount")</f>
        <v>East</v>
      </c>
      <c r="L543" s="2">
        <f>HLOOKUP(F543,HLOOKUP_Reference!$A$1:$E$2,2,FALSE)</f>
        <v>1.4999999999999999E-2</v>
      </c>
      <c r="M543">
        <f>SUMIFS(Daily_Merchant_Pivot!$E:$E,Daily_Merchant_Pivot!$A:$A,C543,Daily_Merchant_Pivot!$D:$D,INT(D543))</f>
        <v>348</v>
      </c>
      <c r="N543" t="str">
        <f t="shared" si="16"/>
        <v>Normal Merchant Day</v>
      </c>
      <c r="O543" s="7">
        <f t="shared" si="17"/>
        <v>46031</v>
      </c>
    </row>
    <row r="544" spans="1:15" x14ac:dyDescent="0.3">
      <c r="A544" t="s">
        <v>557</v>
      </c>
      <c r="B544">
        <v>59</v>
      </c>
      <c r="C544">
        <v>23</v>
      </c>
      <c r="D544" s="1">
        <v>46031.877083333333</v>
      </c>
      <c r="E544">
        <v>399</v>
      </c>
      <c r="F544" t="s">
        <v>24</v>
      </c>
      <c r="G544" t="s">
        <v>10</v>
      </c>
      <c r="H544">
        <v>71</v>
      </c>
      <c r="I544" t="str">
        <f>IFERROR(VLOOKUP(C544,Merchants!$A$2:$D$41,2,FALSE),"Merchant not found")</f>
        <v>Merchant_023</v>
      </c>
      <c r="J544" t="str">
        <f>IFERROR(VLOOKUP(C544,Merchants!$A$2:$D$41,3,FALSE),"Merchant not found")</f>
        <v>travel</v>
      </c>
      <c r="K544" t="str">
        <f>IFERROR(VLOOKUP(C544,Merchants!$A$2:$D$41,4,FALSE), "Merchant Not Fount")</f>
        <v>North</v>
      </c>
      <c r="L544" s="2">
        <f>HLOOKUP(F544,HLOOKUP_Reference!$A$1:$E$2,2,FALSE)</f>
        <v>1.4999999999999999E-2</v>
      </c>
      <c r="M544">
        <f>SUMIFS(Daily_Merchant_Pivot!$E:$E,Daily_Merchant_Pivot!$A:$A,C544,Daily_Merchant_Pivot!$D:$D,INT(D544))</f>
        <v>399</v>
      </c>
      <c r="N544" t="str">
        <f t="shared" si="16"/>
        <v>Normal Merchant Day</v>
      </c>
      <c r="O544" s="7">
        <f t="shared" si="17"/>
        <v>46031</v>
      </c>
    </row>
    <row r="545" spans="1:15" x14ac:dyDescent="0.3">
      <c r="A545" t="s">
        <v>558</v>
      </c>
      <c r="B545">
        <v>345</v>
      </c>
      <c r="C545">
        <v>40</v>
      </c>
      <c r="D545" s="1">
        <v>46045.375</v>
      </c>
      <c r="E545">
        <v>499</v>
      </c>
      <c r="F545" t="s">
        <v>24</v>
      </c>
      <c r="G545" t="s">
        <v>25</v>
      </c>
      <c r="H545">
        <v>65</v>
      </c>
      <c r="I545" t="str">
        <f>IFERROR(VLOOKUP(C545,Merchants!$A$2:$D$41,2,FALSE),"Merchant not found")</f>
        <v>Merchant_040</v>
      </c>
      <c r="J545" t="str">
        <f>IFERROR(VLOOKUP(C545,Merchants!$A$2:$D$41,3,FALSE),"Merchant not found")</f>
        <v>entertainment</v>
      </c>
      <c r="K545" t="str">
        <f>IFERROR(VLOOKUP(C545,Merchants!$A$2:$D$41,4,FALSE), "Merchant Not Fount")</f>
        <v>South</v>
      </c>
      <c r="L545" s="2">
        <f>HLOOKUP(F545,HLOOKUP_Reference!$A$1:$E$2,2,FALSE)</f>
        <v>1.4999999999999999E-2</v>
      </c>
      <c r="M545">
        <f>SUMIFS(Daily_Merchant_Pivot!$E:$E,Daily_Merchant_Pivot!$A:$A,C545,Daily_Merchant_Pivot!$D:$D,INT(D545))</f>
        <v>598</v>
      </c>
      <c r="N545" t="str">
        <f t="shared" si="16"/>
        <v>Normal Merchant Day</v>
      </c>
      <c r="O545" s="7">
        <f t="shared" si="17"/>
        <v>46045</v>
      </c>
    </row>
    <row r="546" spans="1:15" x14ac:dyDescent="0.3">
      <c r="A546" t="s">
        <v>559</v>
      </c>
      <c r="B546">
        <v>345</v>
      </c>
      <c r="C546">
        <v>9</v>
      </c>
      <c r="D546" s="1">
        <v>46045.375694444447</v>
      </c>
      <c r="E546">
        <v>399</v>
      </c>
      <c r="F546" t="s">
        <v>24</v>
      </c>
      <c r="G546" t="s">
        <v>25</v>
      </c>
      <c r="H546">
        <v>67</v>
      </c>
      <c r="I546" t="str">
        <f>IFERROR(VLOOKUP(C546,Merchants!$A$2:$D$41,2,FALSE),"Merchant not found")</f>
        <v>Merchant_009</v>
      </c>
      <c r="J546" t="str">
        <f>IFERROR(VLOOKUP(C546,Merchants!$A$2:$D$41,3,FALSE),"Merchant not found")</f>
        <v>ecommerce</v>
      </c>
      <c r="K546" t="str">
        <f>IFERROR(VLOOKUP(C546,Merchants!$A$2:$D$41,4,FALSE), "Merchant Not Fount")</f>
        <v>North</v>
      </c>
      <c r="L546" s="2">
        <f>HLOOKUP(F546,HLOOKUP_Reference!$A$1:$E$2,2,FALSE)</f>
        <v>1.4999999999999999E-2</v>
      </c>
      <c r="M546">
        <f>SUMIFS(Daily_Merchant_Pivot!$E:$E,Daily_Merchant_Pivot!$A:$A,C546,Daily_Merchant_Pivot!$D:$D,INT(D546))</f>
        <v>898</v>
      </c>
      <c r="N546" t="str">
        <f t="shared" si="16"/>
        <v>Normal Merchant Day</v>
      </c>
      <c r="O546" s="7">
        <f t="shared" si="17"/>
        <v>46045</v>
      </c>
    </row>
    <row r="547" spans="1:15" x14ac:dyDescent="0.3">
      <c r="A547" t="s">
        <v>560</v>
      </c>
      <c r="B547">
        <v>345</v>
      </c>
      <c r="C547">
        <v>16</v>
      </c>
      <c r="D547" s="1">
        <v>46045.376388888886</v>
      </c>
      <c r="E547">
        <v>399</v>
      </c>
      <c r="F547" t="s">
        <v>24</v>
      </c>
      <c r="G547" t="s">
        <v>25</v>
      </c>
      <c r="H547">
        <v>67</v>
      </c>
      <c r="I547" t="str">
        <f>IFERROR(VLOOKUP(C547,Merchants!$A$2:$D$41,2,FALSE),"Merchant not found")</f>
        <v>Merchant_016</v>
      </c>
      <c r="J547" t="str">
        <f>IFERROR(VLOOKUP(C547,Merchants!$A$2:$D$41,3,FALSE),"Merchant not found")</f>
        <v>bill_payment</v>
      </c>
      <c r="K547" t="str">
        <f>IFERROR(VLOOKUP(C547,Merchants!$A$2:$D$41,4,FALSE), "Merchant Not Fount")</f>
        <v>West</v>
      </c>
      <c r="L547" s="2">
        <f>HLOOKUP(F547,HLOOKUP_Reference!$A$1:$E$2,2,FALSE)</f>
        <v>1.4999999999999999E-2</v>
      </c>
      <c r="M547">
        <f>SUMIFS(Daily_Merchant_Pivot!$E:$E,Daily_Merchant_Pivot!$A:$A,C547,Daily_Merchant_Pivot!$D:$D,INT(D547))</f>
        <v>399</v>
      </c>
      <c r="N547" t="str">
        <f t="shared" si="16"/>
        <v>Normal Merchant Day</v>
      </c>
      <c r="O547" s="7">
        <f t="shared" si="17"/>
        <v>46045</v>
      </c>
    </row>
    <row r="548" spans="1:15" x14ac:dyDescent="0.3">
      <c r="A548" t="s">
        <v>561</v>
      </c>
      <c r="B548">
        <v>345</v>
      </c>
      <c r="C548">
        <v>12</v>
      </c>
      <c r="D548" s="1">
        <v>46045.377083333333</v>
      </c>
      <c r="E548">
        <v>399</v>
      </c>
      <c r="F548" t="s">
        <v>24</v>
      </c>
      <c r="G548" t="s">
        <v>10</v>
      </c>
      <c r="H548">
        <v>69</v>
      </c>
      <c r="I548" t="str">
        <f>IFERROR(VLOOKUP(C548,Merchants!$A$2:$D$41,2,FALSE),"Merchant not found")</f>
        <v>Merchant_012</v>
      </c>
      <c r="J548" t="str">
        <f>IFERROR(VLOOKUP(C548,Merchants!$A$2:$D$41,3,FALSE),"Merchant not found")</f>
        <v>ecommerce</v>
      </c>
      <c r="K548" t="str">
        <f>IFERROR(VLOOKUP(C548,Merchants!$A$2:$D$41,4,FALSE), "Merchant Not Fount")</f>
        <v>East</v>
      </c>
      <c r="L548" s="2">
        <f>HLOOKUP(F548,HLOOKUP_Reference!$A$1:$E$2,2,FALSE)</f>
        <v>1.4999999999999999E-2</v>
      </c>
      <c r="M548">
        <f>SUMIFS(Daily_Merchant_Pivot!$E:$E,Daily_Merchant_Pivot!$A:$A,C548,Daily_Merchant_Pivot!$D:$D,INT(D548))</f>
        <v>448</v>
      </c>
      <c r="N548" t="str">
        <f t="shared" si="16"/>
        <v>Normal Merchant Day</v>
      </c>
      <c r="O548" s="7">
        <f t="shared" si="17"/>
        <v>46045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77D08-804D-4965-AF7D-78E1329D3BD1}">
  <dimension ref="A1:D41"/>
  <sheetViews>
    <sheetView workbookViewId="0">
      <selection activeCell="A17" sqref="A17"/>
    </sheetView>
  </sheetViews>
  <sheetFormatPr defaultRowHeight="14.4" x14ac:dyDescent="0.3"/>
  <cols>
    <col min="2" max="2" width="16.44140625" customWidth="1"/>
    <col min="3" max="3" width="22" customWidth="1"/>
    <col min="4" max="4" width="27.44140625" customWidth="1"/>
  </cols>
  <sheetData>
    <row r="1" spans="1:4" x14ac:dyDescent="0.3">
      <c r="A1" t="s">
        <v>2</v>
      </c>
      <c r="B1" t="s">
        <v>562</v>
      </c>
      <c r="C1" t="s">
        <v>563</v>
      </c>
      <c r="D1" t="s">
        <v>564</v>
      </c>
    </row>
    <row r="2" spans="1:4" x14ac:dyDescent="0.3">
      <c r="A2">
        <v>1</v>
      </c>
      <c r="B2" t="s">
        <v>565</v>
      </c>
      <c r="C2" t="s">
        <v>566</v>
      </c>
      <c r="D2" t="s">
        <v>567</v>
      </c>
    </row>
    <row r="3" spans="1:4" x14ac:dyDescent="0.3">
      <c r="A3">
        <v>2</v>
      </c>
      <c r="B3" t="s">
        <v>568</v>
      </c>
      <c r="C3" t="s">
        <v>569</v>
      </c>
      <c r="D3" t="s">
        <v>570</v>
      </c>
    </row>
    <row r="4" spans="1:4" x14ac:dyDescent="0.3">
      <c r="A4">
        <v>3</v>
      </c>
      <c r="B4" t="s">
        <v>571</v>
      </c>
      <c r="C4" t="s">
        <v>569</v>
      </c>
      <c r="D4" t="s">
        <v>572</v>
      </c>
    </row>
    <row r="5" spans="1:4" x14ac:dyDescent="0.3">
      <c r="A5">
        <v>4</v>
      </c>
      <c r="B5" t="s">
        <v>573</v>
      </c>
      <c r="C5" t="s">
        <v>566</v>
      </c>
      <c r="D5" t="s">
        <v>572</v>
      </c>
    </row>
    <row r="6" spans="1:4" x14ac:dyDescent="0.3">
      <c r="A6">
        <v>5</v>
      </c>
      <c r="B6" t="s">
        <v>574</v>
      </c>
      <c r="C6" t="s">
        <v>575</v>
      </c>
      <c r="D6" t="s">
        <v>567</v>
      </c>
    </row>
    <row r="7" spans="1:4" x14ac:dyDescent="0.3">
      <c r="A7">
        <v>6</v>
      </c>
      <c r="B7" t="s">
        <v>576</v>
      </c>
      <c r="C7" t="s">
        <v>577</v>
      </c>
      <c r="D7" t="s">
        <v>567</v>
      </c>
    </row>
    <row r="8" spans="1:4" x14ac:dyDescent="0.3">
      <c r="A8">
        <v>7</v>
      </c>
      <c r="B8" t="s">
        <v>578</v>
      </c>
      <c r="C8" t="s">
        <v>577</v>
      </c>
      <c r="D8" t="s">
        <v>572</v>
      </c>
    </row>
    <row r="9" spans="1:4" x14ac:dyDescent="0.3">
      <c r="A9">
        <v>8</v>
      </c>
      <c r="B9" t="s">
        <v>579</v>
      </c>
      <c r="C9" t="s">
        <v>577</v>
      </c>
      <c r="D9" t="s">
        <v>580</v>
      </c>
    </row>
    <row r="10" spans="1:4" x14ac:dyDescent="0.3">
      <c r="A10">
        <v>9</v>
      </c>
      <c r="B10" t="s">
        <v>581</v>
      </c>
      <c r="C10" t="s">
        <v>566</v>
      </c>
      <c r="D10" t="s">
        <v>580</v>
      </c>
    </row>
    <row r="11" spans="1:4" x14ac:dyDescent="0.3">
      <c r="A11">
        <v>10</v>
      </c>
      <c r="B11" t="s">
        <v>582</v>
      </c>
      <c r="C11" t="s">
        <v>569</v>
      </c>
      <c r="D11" t="s">
        <v>570</v>
      </c>
    </row>
    <row r="12" spans="1:4" x14ac:dyDescent="0.3">
      <c r="A12">
        <v>11</v>
      </c>
      <c r="B12" t="s">
        <v>583</v>
      </c>
      <c r="C12" t="s">
        <v>566</v>
      </c>
      <c r="D12" t="s">
        <v>580</v>
      </c>
    </row>
    <row r="13" spans="1:4" x14ac:dyDescent="0.3">
      <c r="A13">
        <v>12</v>
      </c>
      <c r="B13" t="s">
        <v>584</v>
      </c>
      <c r="C13" t="s">
        <v>566</v>
      </c>
      <c r="D13" t="s">
        <v>572</v>
      </c>
    </row>
    <row r="14" spans="1:4" x14ac:dyDescent="0.3">
      <c r="A14">
        <v>13</v>
      </c>
      <c r="B14" t="s">
        <v>585</v>
      </c>
      <c r="C14" t="s">
        <v>586</v>
      </c>
      <c r="D14" t="s">
        <v>572</v>
      </c>
    </row>
    <row r="15" spans="1:4" x14ac:dyDescent="0.3">
      <c r="A15">
        <v>14</v>
      </c>
      <c r="B15" t="s">
        <v>587</v>
      </c>
      <c r="C15" t="s">
        <v>569</v>
      </c>
      <c r="D15" t="s">
        <v>572</v>
      </c>
    </row>
    <row r="16" spans="1:4" x14ac:dyDescent="0.3">
      <c r="A16">
        <v>15</v>
      </c>
      <c r="B16" t="s">
        <v>588</v>
      </c>
      <c r="C16" t="s">
        <v>586</v>
      </c>
      <c r="D16" t="s">
        <v>580</v>
      </c>
    </row>
    <row r="17" spans="1:4" x14ac:dyDescent="0.3">
      <c r="A17">
        <v>16</v>
      </c>
      <c r="B17" t="s">
        <v>589</v>
      </c>
      <c r="C17" t="s">
        <v>590</v>
      </c>
      <c r="D17" t="s">
        <v>570</v>
      </c>
    </row>
    <row r="18" spans="1:4" x14ac:dyDescent="0.3">
      <c r="A18">
        <v>17</v>
      </c>
      <c r="B18" t="s">
        <v>591</v>
      </c>
      <c r="C18" t="s">
        <v>569</v>
      </c>
      <c r="D18" t="s">
        <v>580</v>
      </c>
    </row>
    <row r="19" spans="1:4" x14ac:dyDescent="0.3">
      <c r="A19">
        <v>18</v>
      </c>
      <c r="B19" t="s">
        <v>592</v>
      </c>
      <c r="C19" t="s">
        <v>569</v>
      </c>
      <c r="D19" t="s">
        <v>570</v>
      </c>
    </row>
    <row r="20" spans="1:4" x14ac:dyDescent="0.3">
      <c r="A20">
        <v>19</v>
      </c>
      <c r="B20" t="s">
        <v>593</v>
      </c>
      <c r="C20" t="s">
        <v>569</v>
      </c>
      <c r="D20" t="s">
        <v>580</v>
      </c>
    </row>
    <row r="21" spans="1:4" x14ac:dyDescent="0.3">
      <c r="A21">
        <v>20</v>
      </c>
      <c r="B21" t="s">
        <v>594</v>
      </c>
      <c r="C21" t="s">
        <v>577</v>
      </c>
      <c r="D21" t="s">
        <v>572</v>
      </c>
    </row>
    <row r="22" spans="1:4" x14ac:dyDescent="0.3">
      <c r="A22">
        <v>21</v>
      </c>
      <c r="B22" t="s">
        <v>595</v>
      </c>
      <c r="C22" t="s">
        <v>577</v>
      </c>
      <c r="D22" t="s">
        <v>572</v>
      </c>
    </row>
    <row r="23" spans="1:4" x14ac:dyDescent="0.3">
      <c r="A23">
        <v>22</v>
      </c>
      <c r="B23" t="s">
        <v>596</v>
      </c>
      <c r="C23" t="s">
        <v>586</v>
      </c>
      <c r="D23" t="s">
        <v>567</v>
      </c>
    </row>
    <row r="24" spans="1:4" x14ac:dyDescent="0.3">
      <c r="A24">
        <v>23</v>
      </c>
      <c r="B24" t="s">
        <v>597</v>
      </c>
      <c r="C24" t="s">
        <v>586</v>
      </c>
      <c r="D24" t="s">
        <v>580</v>
      </c>
    </row>
    <row r="25" spans="1:4" x14ac:dyDescent="0.3">
      <c r="A25">
        <v>24</v>
      </c>
      <c r="B25" t="s">
        <v>598</v>
      </c>
      <c r="C25" t="s">
        <v>569</v>
      </c>
      <c r="D25" t="s">
        <v>580</v>
      </c>
    </row>
    <row r="26" spans="1:4" x14ac:dyDescent="0.3">
      <c r="A26">
        <v>25</v>
      </c>
      <c r="B26" t="s">
        <v>599</v>
      </c>
      <c r="C26" t="s">
        <v>586</v>
      </c>
      <c r="D26" t="s">
        <v>567</v>
      </c>
    </row>
    <row r="27" spans="1:4" x14ac:dyDescent="0.3">
      <c r="A27">
        <v>26</v>
      </c>
      <c r="B27" t="s">
        <v>600</v>
      </c>
      <c r="C27" t="s">
        <v>577</v>
      </c>
      <c r="D27" t="s">
        <v>572</v>
      </c>
    </row>
    <row r="28" spans="1:4" x14ac:dyDescent="0.3">
      <c r="A28">
        <v>27</v>
      </c>
      <c r="B28" t="s">
        <v>601</v>
      </c>
      <c r="C28" t="s">
        <v>566</v>
      </c>
      <c r="D28" t="s">
        <v>580</v>
      </c>
    </row>
    <row r="29" spans="1:4" x14ac:dyDescent="0.3">
      <c r="A29">
        <v>28</v>
      </c>
      <c r="B29" t="s">
        <v>602</v>
      </c>
      <c r="C29" t="s">
        <v>566</v>
      </c>
      <c r="D29" t="s">
        <v>567</v>
      </c>
    </row>
    <row r="30" spans="1:4" x14ac:dyDescent="0.3">
      <c r="A30">
        <v>29</v>
      </c>
      <c r="B30" t="s">
        <v>603</v>
      </c>
      <c r="C30" t="s">
        <v>566</v>
      </c>
      <c r="D30" t="s">
        <v>580</v>
      </c>
    </row>
    <row r="31" spans="1:4" x14ac:dyDescent="0.3">
      <c r="A31">
        <v>30</v>
      </c>
      <c r="B31" t="s">
        <v>604</v>
      </c>
      <c r="C31" t="s">
        <v>586</v>
      </c>
      <c r="D31" t="s">
        <v>570</v>
      </c>
    </row>
    <row r="32" spans="1:4" x14ac:dyDescent="0.3">
      <c r="A32">
        <v>31</v>
      </c>
      <c r="B32" t="s">
        <v>605</v>
      </c>
      <c r="C32" t="s">
        <v>590</v>
      </c>
      <c r="D32" t="s">
        <v>572</v>
      </c>
    </row>
    <row r="33" spans="1:4" x14ac:dyDescent="0.3">
      <c r="A33">
        <v>32</v>
      </c>
      <c r="B33" t="s">
        <v>606</v>
      </c>
      <c r="C33" t="s">
        <v>577</v>
      </c>
      <c r="D33" t="s">
        <v>570</v>
      </c>
    </row>
    <row r="34" spans="1:4" x14ac:dyDescent="0.3">
      <c r="A34">
        <v>33</v>
      </c>
      <c r="B34" t="s">
        <v>607</v>
      </c>
      <c r="C34" t="s">
        <v>590</v>
      </c>
      <c r="D34" t="s">
        <v>572</v>
      </c>
    </row>
    <row r="35" spans="1:4" x14ac:dyDescent="0.3">
      <c r="A35">
        <v>34</v>
      </c>
      <c r="B35" t="s">
        <v>608</v>
      </c>
      <c r="C35" t="s">
        <v>586</v>
      </c>
      <c r="D35" t="s">
        <v>567</v>
      </c>
    </row>
    <row r="36" spans="1:4" x14ac:dyDescent="0.3">
      <c r="A36">
        <v>35</v>
      </c>
      <c r="B36" t="s">
        <v>609</v>
      </c>
      <c r="C36" t="s">
        <v>575</v>
      </c>
      <c r="D36" t="s">
        <v>572</v>
      </c>
    </row>
    <row r="37" spans="1:4" x14ac:dyDescent="0.3">
      <c r="A37">
        <v>36</v>
      </c>
      <c r="B37" t="s">
        <v>610</v>
      </c>
      <c r="C37" t="s">
        <v>611</v>
      </c>
      <c r="D37" t="s">
        <v>572</v>
      </c>
    </row>
    <row r="38" spans="1:4" x14ac:dyDescent="0.3">
      <c r="A38">
        <v>37</v>
      </c>
      <c r="B38" t="s">
        <v>612</v>
      </c>
      <c r="C38" t="s">
        <v>611</v>
      </c>
      <c r="D38" t="s">
        <v>567</v>
      </c>
    </row>
    <row r="39" spans="1:4" x14ac:dyDescent="0.3">
      <c r="A39">
        <v>38</v>
      </c>
      <c r="B39" t="s">
        <v>613</v>
      </c>
      <c r="C39" t="s">
        <v>569</v>
      </c>
      <c r="D39" t="s">
        <v>572</v>
      </c>
    </row>
    <row r="40" spans="1:4" x14ac:dyDescent="0.3">
      <c r="A40">
        <v>39</v>
      </c>
      <c r="B40" t="s">
        <v>614</v>
      </c>
      <c r="C40" t="s">
        <v>611</v>
      </c>
      <c r="D40" t="s">
        <v>580</v>
      </c>
    </row>
    <row r="41" spans="1:4" x14ac:dyDescent="0.3">
      <c r="A41">
        <v>40</v>
      </c>
      <c r="B41" t="s">
        <v>615</v>
      </c>
      <c r="C41" t="s">
        <v>611</v>
      </c>
      <c r="D41" t="s">
        <v>567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1E1D3-EE69-4E3A-A3D0-8FBB41DAE92F}">
  <dimension ref="A1:E5"/>
  <sheetViews>
    <sheetView workbookViewId="0">
      <selection activeCell="C3" sqref="C3"/>
    </sheetView>
  </sheetViews>
  <sheetFormatPr defaultRowHeight="14.4" x14ac:dyDescent="0.3"/>
  <cols>
    <col min="1" max="1" width="15.77734375" customWidth="1"/>
    <col min="5" max="5" width="35.77734375" customWidth="1"/>
  </cols>
  <sheetData>
    <row r="1" spans="1:5" x14ac:dyDescent="0.3">
      <c r="A1" t="s">
        <v>616</v>
      </c>
      <c r="B1" t="s">
        <v>12</v>
      </c>
      <c r="C1" t="s">
        <v>9</v>
      </c>
      <c r="D1" t="s">
        <v>24</v>
      </c>
      <c r="E1" t="s">
        <v>15</v>
      </c>
    </row>
    <row r="2" spans="1:5" x14ac:dyDescent="0.3">
      <c r="A2" t="s">
        <v>617</v>
      </c>
      <c r="B2" s="2">
        <v>2E-3</v>
      </c>
      <c r="C2" s="2">
        <v>6.4999999999999997E-3</v>
      </c>
      <c r="D2" s="2">
        <v>1.4999999999999999E-2</v>
      </c>
      <c r="E2" s="2">
        <v>0.01</v>
      </c>
    </row>
    <row r="5" spans="1:5" x14ac:dyDescent="0.3">
      <c r="A5" s="3" t="s">
        <v>618</v>
      </c>
      <c r="B5" s="3"/>
      <c r="C5" s="3"/>
      <c r="D5" s="3"/>
      <c r="E5" s="3"/>
    </row>
  </sheetData>
  <mergeCells count="1">
    <mergeCell ref="A5:E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701D4-8289-423F-8FC2-C00F125ED6D9}">
  <dimension ref="A3:E446"/>
  <sheetViews>
    <sheetView topLeftCell="A154" workbookViewId="0">
      <selection activeCell="D174" activeCellId="5" sqref="D31:E31 D98:E98 D110:E110 D119:E119 D160:E160 D174:E174 D214:E214 D238:E238 D268:E268 D278:E278 D327:E327 D342:E342 D399:E399 D414:E414 D433:E433 D445:E445"/>
      <pivotSelection pane="bottomRight" showHeader="1" extendable="1" axis="axisRow" dimension="3" start="170" min="157" max="172" activeRow="173" activeCol="3" previousRow="173" previousCol="3" click="1" r:id="rId1">
        <pivotArea dataOnly="0" outline="0" fieldPosition="0">
          <references count="1">
            <reference field="12" count="1">
              <x v="29"/>
            </reference>
          </references>
        </pivotArea>
      </pivotSelection>
    </sheetView>
  </sheetViews>
  <sheetFormatPr defaultRowHeight="14.4" x14ac:dyDescent="0.3"/>
  <cols>
    <col min="1" max="1" width="19.109375" customWidth="1"/>
    <col min="2" max="2" width="17.5546875" bestFit="1" customWidth="1"/>
    <col min="4" max="4" width="23.5546875" bestFit="1" customWidth="1"/>
    <col min="5" max="5" width="17.5546875" bestFit="1" customWidth="1"/>
  </cols>
  <sheetData>
    <row r="3" spans="1:5" x14ac:dyDescent="0.3">
      <c r="A3" s="5" t="s">
        <v>2</v>
      </c>
      <c r="B3" s="5" t="s">
        <v>655</v>
      </c>
      <c r="C3" s="5" t="s">
        <v>656</v>
      </c>
      <c r="D3" s="5" t="s">
        <v>657</v>
      </c>
      <c r="E3" t="s">
        <v>651</v>
      </c>
    </row>
    <row r="4" spans="1:5" x14ac:dyDescent="0.3">
      <c r="A4">
        <v>1</v>
      </c>
      <c r="B4" t="s">
        <v>652</v>
      </c>
      <c r="C4" t="s">
        <v>653</v>
      </c>
      <c r="D4" t="s">
        <v>625</v>
      </c>
      <c r="E4" s="4">
        <v>1499</v>
      </c>
    </row>
    <row r="5" spans="1:5" x14ac:dyDescent="0.3">
      <c r="A5">
        <v>1</v>
      </c>
      <c r="B5" t="s">
        <v>652</v>
      </c>
      <c r="C5" t="s">
        <v>653</v>
      </c>
      <c r="D5" t="s">
        <v>626</v>
      </c>
      <c r="E5" s="4">
        <v>149</v>
      </c>
    </row>
    <row r="6" spans="1:5" x14ac:dyDescent="0.3">
      <c r="A6">
        <v>1</v>
      </c>
      <c r="B6" t="s">
        <v>652</v>
      </c>
      <c r="C6" t="s">
        <v>653</v>
      </c>
      <c r="D6" t="s">
        <v>629</v>
      </c>
      <c r="E6" s="4">
        <v>5048</v>
      </c>
    </row>
    <row r="7" spans="1:5" x14ac:dyDescent="0.3">
      <c r="A7">
        <v>1</v>
      </c>
      <c r="B7" t="s">
        <v>652</v>
      </c>
      <c r="C7" t="s">
        <v>653</v>
      </c>
      <c r="D7" t="s">
        <v>631</v>
      </c>
      <c r="E7" s="4">
        <v>299</v>
      </c>
    </row>
    <row r="8" spans="1:5" x14ac:dyDescent="0.3">
      <c r="A8">
        <v>1</v>
      </c>
      <c r="B8" t="s">
        <v>652</v>
      </c>
      <c r="C8" t="s">
        <v>653</v>
      </c>
      <c r="D8" t="s">
        <v>632</v>
      </c>
      <c r="E8" s="4">
        <v>149</v>
      </c>
    </row>
    <row r="9" spans="1:5" x14ac:dyDescent="0.3">
      <c r="A9">
        <v>1</v>
      </c>
      <c r="B9" t="s">
        <v>652</v>
      </c>
      <c r="C9" t="s">
        <v>653</v>
      </c>
      <c r="D9" t="s">
        <v>637</v>
      </c>
      <c r="E9" s="4">
        <v>149</v>
      </c>
    </row>
    <row r="10" spans="1:5" x14ac:dyDescent="0.3">
      <c r="A10">
        <v>1</v>
      </c>
      <c r="B10" t="s">
        <v>652</v>
      </c>
      <c r="C10" t="s">
        <v>653</v>
      </c>
      <c r="D10" t="s">
        <v>643</v>
      </c>
      <c r="E10" s="4">
        <v>3148</v>
      </c>
    </row>
    <row r="11" spans="1:5" x14ac:dyDescent="0.3">
      <c r="A11">
        <v>2</v>
      </c>
      <c r="B11" t="s">
        <v>652</v>
      </c>
      <c r="C11" t="s">
        <v>653</v>
      </c>
      <c r="D11" t="s">
        <v>627</v>
      </c>
      <c r="E11" s="4">
        <v>499</v>
      </c>
    </row>
    <row r="12" spans="1:5" x14ac:dyDescent="0.3">
      <c r="A12">
        <v>2</v>
      </c>
      <c r="B12" t="s">
        <v>652</v>
      </c>
      <c r="C12" t="s">
        <v>653</v>
      </c>
      <c r="D12" t="s">
        <v>628</v>
      </c>
      <c r="E12" s="4">
        <v>299</v>
      </c>
    </row>
    <row r="13" spans="1:5" x14ac:dyDescent="0.3">
      <c r="A13">
        <v>2</v>
      </c>
      <c r="B13" t="s">
        <v>652</v>
      </c>
      <c r="C13" t="s">
        <v>653</v>
      </c>
      <c r="D13" t="s">
        <v>632</v>
      </c>
      <c r="E13" s="4">
        <v>348</v>
      </c>
    </row>
    <row r="14" spans="1:5" x14ac:dyDescent="0.3">
      <c r="A14">
        <v>2</v>
      </c>
      <c r="B14" t="s">
        <v>652</v>
      </c>
      <c r="C14" t="s">
        <v>653</v>
      </c>
      <c r="D14" t="s">
        <v>633</v>
      </c>
      <c r="E14" s="4">
        <v>49</v>
      </c>
    </row>
    <row r="15" spans="1:5" x14ac:dyDescent="0.3">
      <c r="A15">
        <v>2</v>
      </c>
      <c r="B15" t="s">
        <v>652</v>
      </c>
      <c r="C15" t="s">
        <v>653</v>
      </c>
      <c r="D15" t="s">
        <v>635</v>
      </c>
      <c r="E15" s="4">
        <v>1499</v>
      </c>
    </row>
    <row r="16" spans="1:5" x14ac:dyDescent="0.3">
      <c r="A16">
        <v>2</v>
      </c>
      <c r="B16" t="s">
        <v>652</v>
      </c>
      <c r="C16" t="s">
        <v>653</v>
      </c>
      <c r="D16" t="s">
        <v>639</v>
      </c>
      <c r="E16" s="4">
        <v>49</v>
      </c>
    </row>
    <row r="17" spans="1:5" x14ac:dyDescent="0.3">
      <c r="A17">
        <v>2</v>
      </c>
      <c r="B17" t="s">
        <v>652</v>
      </c>
      <c r="C17" t="s">
        <v>653</v>
      </c>
      <c r="D17" t="s">
        <v>642</v>
      </c>
      <c r="E17" s="4">
        <v>299</v>
      </c>
    </row>
    <row r="18" spans="1:5" x14ac:dyDescent="0.3">
      <c r="A18">
        <v>2</v>
      </c>
      <c r="B18" t="s">
        <v>652</v>
      </c>
      <c r="C18" t="s">
        <v>653</v>
      </c>
      <c r="D18" t="s">
        <v>646</v>
      </c>
      <c r="E18" s="4">
        <v>299</v>
      </c>
    </row>
    <row r="19" spans="1:5" x14ac:dyDescent="0.3">
      <c r="A19">
        <v>2</v>
      </c>
      <c r="B19" t="s">
        <v>652</v>
      </c>
      <c r="C19" t="s">
        <v>653</v>
      </c>
      <c r="D19" t="s">
        <v>650</v>
      </c>
      <c r="E19" s="4">
        <v>299</v>
      </c>
    </row>
    <row r="20" spans="1:5" x14ac:dyDescent="0.3">
      <c r="A20">
        <v>3</v>
      </c>
      <c r="B20" t="s">
        <v>652</v>
      </c>
      <c r="C20" t="s">
        <v>653</v>
      </c>
      <c r="D20" t="s">
        <v>623</v>
      </c>
      <c r="E20" s="4">
        <v>198</v>
      </c>
    </row>
    <row r="21" spans="1:5" x14ac:dyDescent="0.3">
      <c r="A21">
        <v>3</v>
      </c>
      <c r="B21" t="s">
        <v>652</v>
      </c>
      <c r="C21" t="s">
        <v>653</v>
      </c>
      <c r="D21" t="s">
        <v>625</v>
      </c>
      <c r="E21" s="4">
        <v>99</v>
      </c>
    </row>
    <row r="22" spans="1:5" x14ac:dyDescent="0.3">
      <c r="A22">
        <v>3</v>
      </c>
      <c r="B22" t="s">
        <v>652</v>
      </c>
      <c r="C22" t="s">
        <v>653</v>
      </c>
      <c r="D22" t="s">
        <v>626</v>
      </c>
      <c r="E22" s="4">
        <v>898</v>
      </c>
    </row>
    <row r="23" spans="1:5" x14ac:dyDescent="0.3">
      <c r="A23">
        <v>3</v>
      </c>
      <c r="B23" t="s">
        <v>652</v>
      </c>
      <c r="C23" t="s">
        <v>653</v>
      </c>
      <c r="D23" t="s">
        <v>627</v>
      </c>
      <c r="E23" s="4">
        <v>798</v>
      </c>
    </row>
    <row r="24" spans="1:5" x14ac:dyDescent="0.3">
      <c r="A24">
        <v>3</v>
      </c>
      <c r="B24" t="s">
        <v>652</v>
      </c>
      <c r="C24" t="s">
        <v>653</v>
      </c>
      <c r="D24" t="s">
        <v>628</v>
      </c>
      <c r="E24" s="4">
        <v>149</v>
      </c>
    </row>
    <row r="25" spans="1:5" x14ac:dyDescent="0.3">
      <c r="A25">
        <v>3</v>
      </c>
      <c r="B25" t="s">
        <v>652</v>
      </c>
      <c r="C25" t="s">
        <v>653</v>
      </c>
      <c r="D25" t="s">
        <v>633</v>
      </c>
      <c r="E25" s="4">
        <v>198</v>
      </c>
    </row>
    <row r="26" spans="1:5" x14ac:dyDescent="0.3">
      <c r="A26">
        <v>3</v>
      </c>
      <c r="B26" t="s">
        <v>652</v>
      </c>
      <c r="C26" t="s">
        <v>653</v>
      </c>
      <c r="D26" t="s">
        <v>636</v>
      </c>
      <c r="E26" s="4">
        <v>4999</v>
      </c>
    </row>
    <row r="27" spans="1:5" x14ac:dyDescent="0.3">
      <c r="A27">
        <v>3</v>
      </c>
      <c r="B27" t="s">
        <v>652</v>
      </c>
      <c r="C27" t="s">
        <v>653</v>
      </c>
      <c r="D27" t="s">
        <v>640</v>
      </c>
      <c r="E27" s="4">
        <v>99</v>
      </c>
    </row>
    <row r="28" spans="1:5" x14ac:dyDescent="0.3">
      <c r="A28">
        <v>3</v>
      </c>
      <c r="B28" t="s">
        <v>652</v>
      </c>
      <c r="C28" t="s">
        <v>653</v>
      </c>
      <c r="D28" t="s">
        <v>642</v>
      </c>
      <c r="E28" s="4">
        <v>499</v>
      </c>
    </row>
    <row r="29" spans="1:5" x14ac:dyDescent="0.3">
      <c r="A29">
        <v>3</v>
      </c>
      <c r="B29" t="s">
        <v>652</v>
      </c>
      <c r="C29" t="s">
        <v>653</v>
      </c>
      <c r="D29" t="s">
        <v>643</v>
      </c>
      <c r="E29" s="4">
        <v>49</v>
      </c>
    </row>
    <row r="30" spans="1:5" x14ac:dyDescent="0.3">
      <c r="A30">
        <v>3</v>
      </c>
      <c r="B30" t="s">
        <v>652</v>
      </c>
      <c r="C30" t="s">
        <v>653</v>
      </c>
      <c r="D30" t="s">
        <v>646</v>
      </c>
      <c r="E30" s="4">
        <v>149</v>
      </c>
    </row>
    <row r="31" spans="1:5" x14ac:dyDescent="0.3">
      <c r="A31">
        <v>3</v>
      </c>
      <c r="B31" t="s">
        <v>652</v>
      </c>
      <c r="C31" t="s">
        <v>653</v>
      </c>
      <c r="D31" t="s">
        <v>649</v>
      </c>
      <c r="E31" s="4">
        <v>49</v>
      </c>
    </row>
    <row r="32" spans="1:5" x14ac:dyDescent="0.3">
      <c r="A32">
        <v>3</v>
      </c>
      <c r="B32" t="s">
        <v>652</v>
      </c>
      <c r="C32" t="s">
        <v>653</v>
      </c>
      <c r="D32" t="s">
        <v>650</v>
      </c>
      <c r="E32" s="4">
        <v>49</v>
      </c>
    </row>
    <row r="33" spans="1:5" x14ac:dyDescent="0.3">
      <c r="A33">
        <v>4</v>
      </c>
      <c r="B33" t="s">
        <v>652</v>
      </c>
      <c r="C33" t="s">
        <v>653</v>
      </c>
      <c r="D33" t="s">
        <v>622</v>
      </c>
      <c r="E33" s="4">
        <v>149</v>
      </c>
    </row>
    <row r="34" spans="1:5" x14ac:dyDescent="0.3">
      <c r="A34">
        <v>4</v>
      </c>
      <c r="B34" t="s">
        <v>652</v>
      </c>
      <c r="C34" t="s">
        <v>653</v>
      </c>
      <c r="D34" t="s">
        <v>632</v>
      </c>
      <c r="E34" s="4">
        <v>49</v>
      </c>
    </row>
    <row r="35" spans="1:5" x14ac:dyDescent="0.3">
      <c r="A35">
        <v>4</v>
      </c>
      <c r="B35" t="s">
        <v>652</v>
      </c>
      <c r="C35" t="s">
        <v>653</v>
      </c>
      <c r="D35" t="s">
        <v>633</v>
      </c>
      <c r="E35" s="4">
        <v>948</v>
      </c>
    </row>
    <row r="36" spans="1:5" x14ac:dyDescent="0.3">
      <c r="A36">
        <v>4</v>
      </c>
      <c r="B36" t="s">
        <v>652</v>
      </c>
      <c r="C36" t="s">
        <v>653</v>
      </c>
      <c r="D36" t="s">
        <v>636</v>
      </c>
      <c r="E36" s="4">
        <v>799</v>
      </c>
    </row>
    <row r="37" spans="1:5" x14ac:dyDescent="0.3">
      <c r="A37">
        <v>4</v>
      </c>
      <c r="B37" t="s">
        <v>652</v>
      </c>
      <c r="C37" t="s">
        <v>653</v>
      </c>
      <c r="D37" t="s">
        <v>637</v>
      </c>
      <c r="E37" s="4">
        <v>1499</v>
      </c>
    </row>
    <row r="38" spans="1:5" x14ac:dyDescent="0.3">
      <c r="A38">
        <v>4</v>
      </c>
      <c r="B38" t="s">
        <v>652</v>
      </c>
      <c r="C38" t="s">
        <v>653</v>
      </c>
      <c r="D38" t="s">
        <v>644</v>
      </c>
      <c r="E38" s="4">
        <v>1499</v>
      </c>
    </row>
    <row r="39" spans="1:5" x14ac:dyDescent="0.3">
      <c r="A39">
        <v>4</v>
      </c>
      <c r="B39" t="s">
        <v>652</v>
      </c>
      <c r="C39" t="s">
        <v>653</v>
      </c>
      <c r="D39" t="s">
        <v>645</v>
      </c>
      <c r="E39" s="4">
        <v>1998</v>
      </c>
    </row>
    <row r="40" spans="1:5" x14ac:dyDescent="0.3">
      <c r="A40">
        <v>5</v>
      </c>
      <c r="B40" t="s">
        <v>652</v>
      </c>
      <c r="C40" t="s">
        <v>653</v>
      </c>
      <c r="D40" t="s">
        <v>621</v>
      </c>
      <c r="E40" s="4">
        <v>499</v>
      </c>
    </row>
    <row r="41" spans="1:5" x14ac:dyDescent="0.3">
      <c r="A41">
        <v>5</v>
      </c>
      <c r="B41" t="s">
        <v>652</v>
      </c>
      <c r="C41" t="s">
        <v>653</v>
      </c>
      <c r="D41" t="s">
        <v>623</v>
      </c>
      <c r="E41" s="4">
        <v>499</v>
      </c>
    </row>
    <row r="42" spans="1:5" x14ac:dyDescent="0.3">
      <c r="A42">
        <v>5</v>
      </c>
      <c r="B42" t="s">
        <v>652</v>
      </c>
      <c r="C42" t="s">
        <v>653</v>
      </c>
      <c r="D42" t="s">
        <v>629</v>
      </c>
      <c r="E42" s="4">
        <v>348</v>
      </c>
    </row>
    <row r="43" spans="1:5" x14ac:dyDescent="0.3">
      <c r="A43">
        <v>5</v>
      </c>
      <c r="B43" t="s">
        <v>652</v>
      </c>
      <c r="C43" t="s">
        <v>653</v>
      </c>
      <c r="D43" t="s">
        <v>630</v>
      </c>
      <c r="E43" s="4">
        <v>99</v>
      </c>
    </row>
    <row r="44" spans="1:5" x14ac:dyDescent="0.3">
      <c r="A44">
        <v>5</v>
      </c>
      <c r="B44" t="s">
        <v>652</v>
      </c>
      <c r="C44" t="s">
        <v>653</v>
      </c>
      <c r="D44" t="s">
        <v>635</v>
      </c>
      <c r="E44" s="4">
        <v>548</v>
      </c>
    </row>
    <row r="45" spans="1:5" x14ac:dyDescent="0.3">
      <c r="A45">
        <v>5</v>
      </c>
      <c r="B45" t="s">
        <v>652</v>
      </c>
      <c r="C45" t="s">
        <v>653</v>
      </c>
      <c r="D45" t="s">
        <v>637</v>
      </c>
      <c r="E45" s="4">
        <v>499</v>
      </c>
    </row>
    <row r="46" spans="1:5" x14ac:dyDescent="0.3">
      <c r="A46">
        <v>5</v>
      </c>
      <c r="B46" t="s">
        <v>652</v>
      </c>
      <c r="C46" t="s">
        <v>653</v>
      </c>
      <c r="D46" t="s">
        <v>638</v>
      </c>
      <c r="E46" s="4">
        <v>299</v>
      </c>
    </row>
    <row r="47" spans="1:5" x14ac:dyDescent="0.3">
      <c r="A47">
        <v>5</v>
      </c>
      <c r="B47" t="s">
        <v>652</v>
      </c>
      <c r="C47" t="s">
        <v>653</v>
      </c>
      <c r="D47" t="s">
        <v>639</v>
      </c>
      <c r="E47" s="4">
        <v>49</v>
      </c>
    </row>
    <row r="48" spans="1:5" x14ac:dyDescent="0.3">
      <c r="A48">
        <v>5</v>
      </c>
      <c r="B48" t="s">
        <v>652</v>
      </c>
      <c r="C48" t="s">
        <v>653</v>
      </c>
      <c r="D48" t="s">
        <v>650</v>
      </c>
      <c r="E48" s="4">
        <v>2999</v>
      </c>
    </row>
    <row r="49" spans="1:5" x14ac:dyDescent="0.3">
      <c r="A49">
        <v>6</v>
      </c>
      <c r="B49" t="s">
        <v>652</v>
      </c>
      <c r="C49" t="s">
        <v>653</v>
      </c>
      <c r="D49" t="s">
        <v>621</v>
      </c>
      <c r="E49" s="4">
        <v>49</v>
      </c>
    </row>
    <row r="50" spans="1:5" x14ac:dyDescent="0.3">
      <c r="A50">
        <v>6</v>
      </c>
      <c r="B50" t="s">
        <v>652</v>
      </c>
      <c r="C50" t="s">
        <v>653</v>
      </c>
      <c r="D50" t="s">
        <v>623</v>
      </c>
      <c r="E50" s="4">
        <v>799</v>
      </c>
    </row>
    <row r="51" spans="1:5" x14ac:dyDescent="0.3">
      <c r="A51">
        <v>6</v>
      </c>
      <c r="B51" t="s">
        <v>652</v>
      </c>
      <c r="C51" t="s">
        <v>653</v>
      </c>
      <c r="D51" t="s">
        <v>625</v>
      </c>
      <c r="E51" s="4">
        <v>1499</v>
      </c>
    </row>
    <row r="52" spans="1:5" x14ac:dyDescent="0.3">
      <c r="A52">
        <v>6</v>
      </c>
      <c r="B52" t="s">
        <v>652</v>
      </c>
      <c r="C52" t="s">
        <v>653</v>
      </c>
      <c r="D52" t="s">
        <v>628</v>
      </c>
      <c r="E52" s="4">
        <v>149</v>
      </c>
    </row>
    <row r="53" spans="1:5" x14ac:dyDescent="0.3">
      <c r="A53">
        <v>6</v>
      </c>
      <c r="B53" t="s">
        <v>652</v>
      </c>
      <c r="C53" t="s">
        <v>653</v>
      </c>
      <c r="D53" t="s">
        <v>629</v>
      </c>
      <c r="E53" s="4">
        <v>99</v>
      </c>
    </row>
    <row r="54" spans="1:5" x14ac:dyDescent="0.3">
      <c r="A54">
        <v>6</v>
      </c>
      <c r="B54" t="s">
        <v>652</v>
      </c>
      <c r="C54" t="s">
        <v>653</v>
      </c>
      <c r="D54" t="s">
        <v>631</v>
      </c>
      <c r="E54" s="4">
        <v>1499</v>
      </c>
    </row>
    <row r="55" spans="1:5" x14ac:dyDescent="0.3">
      <c r="A55">
        <v>6</v>
      </c>
      <c r="B55" t="s">
        <v>652</v>
      </c>
      <c r="C55" t="s">
        <v>653</v>
      </c>
      <c r="D55" t="s">
        <v>633</v>
      </c>
      <c r="E55" s="4">
        <v>1499</v>
      </c>
    </row>
    <row r="56" spans="1:5" x14ac:dyDescent="0.3">
      <c r="A56">
        <v>6</v>
      </c>
      <c r="B56" t="s">
        <v>652</v>
      </c>
      <c r="C56" t="s">
        <v>653</v>
      </c>
      <c r="D56" t="s">
        <v>635</v>
      </c>
      <c r="E56" s="4">
        <v>49</v>
      </c>
    </row>
    <row r="57" spans="1:5" x14ac:dyDescent="0.3">
      <c r="A57">
        <v>6</v>
      </c>
      <c r="B57" t="s">
        <v>652</v>
      </c>
      <c r="C57" t="s">
        <v>653</v>
      </c>
      <c r="D57" t="s">
        <v>637</v>
      </c>
      <c r="E57" s="4">
        <v>799</v>
      </c>
    </row>
    <row r="58" spans="1:5" x14ac:dyDescent="0.3">
      <c r="A58">
        <v>6</v>
      </c>
      <c r="B58" t="s">
        <v>652</v>
      </c>
      <c r="C58" t="s">
        <v>653</v>
      </c>
      <c r="D58" t="s">
        <v>639</v>
      </c>
      <c r="E58" s="4">
        <v>49</v>
      </c>
    </row>
    <row r="59" spans="1:5" x14ac:dyDescent="0.3">
      <c r="A59">
        <v>6</v>
      </c>
      <c r="B59" t="s">
        <v>652</v>
      </c>
      <c r="C59" t="s">
        <v>653</v>
      </c>
      <c r="D59" t="s">
        <v>641</v>
      </c>
      <c r="E59" s="4">
        <v>49</v>
      </c>
    </row>
    <row r="60" spans="1:5" x14ac:dyDescent="0.3">
      <c r="A60">
        <v>6</v>
      </c>
      <c r="B60" t="s">
        <v>652</v>
      </c>
      <c r="C60" t="s">
        <v>653</v>
      </c>
      <c r="D60" t="s">
        <v>646</v>
      </c>
      <c r="E60" s="4">
        <v>897</v>
      </c>
    </row>
    <row r="61" spans="1:5" x14ac:dyDescent="0.3">
      <c r="A61">
        <v>7</v>
      </c>
      <c r="B61" t="s">
        <v>652</v>
      </c>
      <c r="C61" t="s">
        <v>653</v>
      </c>
      <c r="D61" t="s">
        <v>622</v>
      </c>
      <c r="E61" s="4">
        <v>3797</v>
      </c>
    </row>
    <row r="62" spans="1:5" x14ac:dyDescent="0.3">
      <c r="A62">
        <v>7</v>
      </c>
      <c r="B62" t="s">
        <v>652</v>
      </c>
      <c r="C62" t="s">
        <v>653</v>
      </c>
      <c r="D62" t="s">
        <v>623</v>
      </c>
      <c r="E62" s="4">
        <v>149</v>
      </c>
    </row>
    <row r="63" spans="1:5" x14ac:dyDescent="0.3">
      <c r="A63">
        <v>7</v>
      </c>
      <c r="B63" t="s">
        <v>652</v>
      </c>
      <c r="C63" t="s">
        <v>653</v>
      </c>
      <c r="D63" t="s">
        <v>625</v>
      </c>
      <c r="E63" s="4">
        <v>4498</v>
      </c>
    </row>
    <row r="64" spans="1:5" x14ac:dyDescent="0.3">
      <c r="A64">
        <v>7</v>
      </c>
      <c r="B64" t="s">
        <v>652</v>
      </c>
      <c r="C64" t="s">
        <v>653</v>
      </c>
      <c r="D64" t="s">
        <v>628</v>
      </c>
      <c r="E64" s="4">
        <v>299</v>
      </c>
    </row>
    <row r="65" spans="1:5" x14ac:dyDescent="0.3">
      <c r="A65">
        <v>7</v>
      </c>
      <c r="B65" t="s">
        <v>652</v>
      </c>
      <c r="C65" t="s">
        <v>653</v>
      </c>
      <c r="D65" t="s">
        <v>630</v>
      </c>
      <c r="E65" s="4">
        <v>499</v>
      </c>
    </row>
    <row r="66" spans="1:5" x14ac:dyDescent="0.3">
      <c r="A66">
        <v>7</v>
      </c>
      <c r="B66" t="s">
        <v>652</v>
      </c>
      <c r="C66" t="s">
        <v>653</v>
      </c>
      <c r="D66" t="s">
        <v>635</v>
      </c>
      <c r="E66" s="4">
        <v>1648</v>
      </c>
    </row>
    <row r="67" spans="1:5" x14ac:dyDescent="0.3">
      <c r="A67">
        <v>7</v>
      </c>
      <c r="B67" t="s">
        <v>652</v>
      </c>
      <c r="C67" t="s">
        <v>653</v>
      </c>
      <c r="D67" t="s">
        <v>637</v>
      </c>
      <c r="E67" s="4">
        <v>149</v>
      </c>
    </row>
    <row r="68" spans="1:5" x14ac:dyDescent="0.3">
      <c r="A68">
        <v>7</v>
      </c>
      <c r="B68" t="s">
        <v>652</v>
      </c>
      <c r="C68" t="s">
        <v>653</v>
      </c>
      <c r="D68" t="s">
        <v>641</v>
      </c>
      <c r="E68" s="4">
        <v>1499</v>
      </c>
    </row>
    <row r="69" spans="1:5" x14ac:dyDescent="0.3">
      <c r="A69">
        <v>7</v>
      </c>
      <c r="B69" t="s">
        <v>652</v>
      </c>
      <c r="C69" t="s">
        <v>653</v>
      </c>
      <c r="D69" t="s">
        <v>644</v>
      </c>
      <c r="E69" s="4">
        <v>1298</v>
      </c>
    </row>
    <row r="70" spans="1:5" x14ac:dyDescent="0.3">
      <c r="A70">
        <v>7</v>
      </c>
      <c r="B70" t="s">
        <v>652</v>
      </c>
      <c r="C70" t="s">
        <v>653</v>
      </c>
      <c r="D70" t="s">
        <v>645</v>
      </c>
      <c r="E70" s="4">
        <v>99</v>
      </c>
    </row>
    <row r="71" spans="1:5" x14ac:dyDescent="0.3">
      <c r="A71">
        <v>7</v>
      </c>
      <c r="B71" t="s">
        <v>652</v>
      </c>
      <c r="C71" t="s">
        <v>653</v>
      </c>
      <c r="D71" t="s">
        <v>650</v>
      </c>
      <c r="E71" s="4">
        <v>1999</v>
      </c>
    </row>
    <row r="72" spans="1:5" x14ac:dyDescent="0.3">
      <c r="A72">
        <v>8</v>
      </c>
      <c r="B72" t="s">
        <v>652</v>
      </c>
      <c r="C72" t="s">
        <v>653</v>
      </c>
      <c r="D72" t="s">
        <v>622</v>
      </c>
      <c r="E72" s="4">
        <v>299</v>
      </c>
    </row>
    <row r="73" spans="1:5" x14ac:dyDescent="0.3">
      <c r="A73">
        <v>8</v>
      </c>
      <c r="B73" t="s">
        <v>652</v>
      </c>
      <c r="C73" t="s">
        <v>653</v>
      </c>
      <c r="D73" t="s">
        <v>623</v>
      </c>
      <c r="E73" s="4">
        <v>299</v>
      </c>
    </row>
    <row r="74" spans="1:5" x14ac:dyDescent="0.3">
      <c r="A74">
        <v>8</v>
      </c>
      <c r="B74" t="s">
        <v>652</v>
      </c>
      <c r="C74" t="s">
        <v>653</v>
      </c>
      <c r="D74" t="s">
        <v>626</v>
      </c>
      <c r="E74" s="4">
        <v>49</v>
      </c>
    </row>
    <row r="75" spans="1:5" x14ac:dyDescent="0.3">
      <c r="A75">
        <v>8</v>
      </c>
      <c r="B75" t="s">
        <v>652</v>
      </c>
      <c r="C75" t="s">
        <v>653</v>
      </c>
      <c r="D75" t="s">
        <v>628</v>
      </c>
      <c r="E75" s="4">
        <v>99</v>
      </c>
    </row>
    <row r="76" spans="1:5" x14ac:dyDescent="0.3">
      <c r="A76">
        <v>8</v>
      </c>
      <c r="B76" t="s">
        <v>652</v>
      </c>
      <c r="C76" t="s">
        <v>653</v>
      </c>
      <c r="D76" t="s">
        <v>631</v>
      </c>
      <c r="E76" s="4">
        <v>149</v>
      </c>
    </row>
    <row r="77" spans="1:5" x14ac:dyDescent="0.3">
      <c r="A77">
        <v>8</v>
      </c>
      <c r="B77" t="s">
        <v>652</v>
      </c>
      <c r="C77" t="s">
        <v>653</v>
      </c>
      <c r="D77" t="s">
        <v>632</v>
      </c>
      <c r="E77" s="4">
        <v>398</v>
      </c>
    </row>
    <row r="78" spans="1:5" x14ac:dyDescent="0.3">
      <c r="A78">
        <v>8</v>
      </c>
      <c r="B78" t="s">
        <v>652</v>
      </c>
      <c r="C78" t="s">
        <v>653</v>
      </c>
      <c r="D78" t="s">
        <v>636</v>
      </c>
      <c r="E78" s="4">
        <v>2999</v>
      </c>
    </row>
    <row r="79" spans="1:5" x14ac:dyDescent="0.3">
      <c r="A79">
        <v>8</v>
      </c>
      <c r="B79" t="s">
        <v>652</v>
      </c>
      <c r="C79" t="s">
        <v>653</v>
      </c>
      <c r="D79" t="s">
        <v>637</v>
      </c>
      <c r="E79" s="4">
        <v>348</v>
      </c>
    </row>
    <row r="80" spans="1:5" x14ac:dyDescent="0.3">
      <c r="A80">
        <v>8</v>
      </c>
      <c r="B80" t="s">
        <v>652</v>
      </c>
      <c r="C80" t="s">
        <v>653</v>
      </c>
      <c r="D80" t="s">
        <v>638</v>
      </c>
      <c r="E80" s="4">
        <v>499</v>
      </c>
    </row>
    <row r="81" spans="1:5" x14ac:dyDescent="0.3">
      <c r="A81">
        <v>8</v>
      </c>
      <c r="B81" t="s">
        <v>652</v>
      </c>
      <c r="C81" t="s">
        <v>653</v>
      </c>
      <c r="D81" t="s">
        <v>639</v>
      </c>
      <c r="E81" s="4">
        <v>99</v>
      </c>
    </row>
    <row r="82" spans="1:5" x14ac:dyDescent="0.3">
      <c r="A82">
        <v>8</v>
      </c>
      <c r="B82" t="s">
        <v>652</v>
      </c>
      <c r="C82" t="s">
        <v>653</v>
      </c>
      <c r="D82" t="s">
        <v>646</v>
      </c>
      <c r="E82" s="4">
        <v>598</v>
      </c>
    </row>
    <row r="83" spans="1:5" x14ac:dyDescent="0.3">
      <c r="A83">
        <v>8</v>
      </c>
      <c r="B83" t="s">
        <v>652</v>
      </c>
      <c r="C83" t="s">
        <v>653</v>
      </c>
      <c r="D83" t="s">
        <v>647</v>
      </c>
      <c r="E83" s="4">
        <v>1499</v>
      </c>
    </row>
    <row r="84" spans="1:5" x14ac:dyDescent="0.3">
      <c r="A84">
        <v>8</v>
      </c>
      <c r="B84" t="s">
        <v>652</v>
      </c>
      <c r="C84" t="s">
        <v>653</v>
      </c>
      <c r="D84" t="s">
        <v>650</v>
      </c>
      <c r="E84" s="4">
        <v>99</v>
      </c>
    </row>
    <row r="85" spans="1:5" x14ac:dyDescent="0.3">
      <c r="A85">
        <v>9</v>
      </c>
      <c r="B85" t="s">
        <v>652</v>
      </c>
      <c r="C85" t="s">
        <v>653</v>
      </c>
      <c r="D85" t="s">
        <v>621</v>
      </c>
      <c r="E85" s="4">
        <v>499</v>
      </c>
    </row>
    <row r="86" spans="1:5" x14ac:dyDescent="0.3">
      <c r="A86">
        <v>9</v>
      </c>
      <c r="B86" t="s">
        <v>652</v>
      </c>
      <c r="C86" t="s">
        <v>653</v>
      </c>
      <c r="D86" t="s">
        <v>624</v>
      </c>
      <c r="E86" s="4">
        <v>499</v>
      </c>
    </row>
    <row r="87" spans="1:5" x14ac:dyDescent="0.3">
      <c r="A87">
        <v>9</v>
      </c>
      <c r="B87" t="s">
        <v>652</v>
      </c>
      <c r="C87" t="s">
        <v>653</v>
      </c>
      <c r="D87" t="s">
        <v>625</v>
      </c>
      <c r="E87" s="4">
        <v>149</v>
      </c>
    </row>
    <row r="88" spans="1:5" x14ac:dyDescent="0.3">
      <c r="A88">
        <v>9</v>
      </c>
      <c r="B88" t="s">
        <v>652</v>
      </c>
      <c r="C88" t="s">
        <v>653</v>
      </c>
      <c r="D88" t="s">
        <v>626</v>
      </c>
      <c r="E88" s="4">
        <v>149</v>
      </c>
    </row>
    <row r="89" spans="1:5" x14ac:dyDescent="0.3">
      <c r="A89">
        <v>9</v>
      </c>
      <c r="B89" t="s">
        <v>652</v>
      </c>
      <c r="C89" t="s">
        <v>653</v>
      </c>
      <c r="D89" t="s">
        <v>629</v>
      </c>
      <c r="E89" s="4">
        <v>99</v>
      </c>
    </row>
    <row r="90" spans="1:5" x14ac:dyDescent="0.3">
      <c r="A90">
        <v>9</v>
      </c>
      <c r="B90" t="s">
        <v>652</v>
      </c>
      <c r="C90" t="s">
        <v>653</v>
      </c>
      <c r="D90" t="s">
        <v>630</v>
      </c>
      <c r="E90" s="4">
        <v>49</v>
      </c>
    </row>
    <row r="91" spans="1:5" x14ac:dyDescent="0.3">
      <c r="A91">
        <v>9</v>
      </c>
      <c r="B91" t="s">
        <v>652</v>
      </c>
      <c r="C91" t="s">
        <v>653</v>
      </c>
      <c r="D91" t="s">
        <v>632</v>
      </c>
      <c r="E91" s="4">
        <v>299</v>
      </c>
    </row>
    <row r="92" spans="1:5" x14ac:dyDescent="0.3">
      <c r="A92">
        <v>9</v>
      </c>
      <c r="B92" t="s">
        <v>652</v>
      </c>
      <c r="C92" t="s">
        <v>653</v>
      </c>
      <c r="D92" t="s">
        <v>635</v>
      </c>
      <c r="E92" s="4">
        <v>148</v>
      </c>
    </row>
    <row r="93" spans="1:5" x14ac:dyDescent="0.3">
      <c r="A93">
        <v>9</v>
      </c>
      <c r="B93" t="s">
        <v>652</v>
      </c>
      <c r="C93" t="s">
        <v>653</v>
      </c>
      <c r="D93" t="s">
        <v>637</v>
      </c>
      <c r="E93" s="4">
        <v>248</v>
      </c>
    </row>
    <row r="94" spans="1:5" x14ac:dyDescent="0.3">
      <c r="A94">
        <v>9</v>
      </c>
      <c r="B94" t="s">
        <v>652</v>
      </c>
      <c r="C94" t="s">
        <v>653</v>
      </c>
      <c r="D94" t="s">
        <v>638</v>
      </c>
      <c r="E94" s="4">
        <v>299</v>
      </c>
    </row>
    <row r="95" spans="1:5" x14ac:dyDescent="0.3">
      <c r="A95">
        <v>9</v>
      </c>
      <c r="B95" t="s">
        <v>652</v>
      </c>
      <c r="C95" t="s">
        <v>653</v>
      </c>
      <c r="D95" t="s">
        <v>639</v>
      </c>
      <c r="E95" s="4">
        <v>299</v>
      </c>
    </row>
    <row r="96" spans="1:5" x14ac:dyDescent="0.3">
      <c r="A96">
        <v>9</v>
      </c>
      <c r="B96" t="s">
        <v>652</v>
      </c>
      <c r="C96" t="s">
        <v>653</v>
      </c>
      <c r="D96" t="s">
        <v>642</v>
      </c>
      <c r="E96" s="4">
        <v>1298</v>
      </c>
    </row>
    <row r="97" spans="1:5" x14ac:dyDescent="0.3">
      <c r="A97">
        <v>9</v>
      </c>
      <c r="B97" t="s">
        <v>652</v>
      </c>
      <c r="C97" t="s">
        <v>653</v>
      </c>
      <c r="D97" t="s">
        <v>643</v>
      </c>
      <c r="E97" s="4">
        <v>898</v>
      </c>
    </row>
    <row r="98" spans="1:5" x14ac:dyDescent="0.3">
      <c r="A98">
        <v>9</v>
      </c>
      <c r="B98" t="s">
        <v>652</v>
      </c>
      <c r="C98" t="s">
        <v>653</v>
      </c>
      <c r="D98" t="s">
        <v>649</v>
      </c>
      <c r="E98" s="4">
        <v>49</v>
      </c>
    </row>
    <row r="99" spans="1:5" x14ac:dyDescent="0.3">
      <c r="A99">
        <v>10</v>
      </c>
      <c r="B99" t="s">
        <v>652</v>
      </c>
      <c r="C99" t="s">
        <v>653</v>
      </c>
      <c r="D99" t="s">
        <v>625</v>
      </c>
      <c r="E99" s="4">
        <v>49</v>
      </c>
    </row>
    <row r="100" spans="1:5" x14ac:dyDescent="0.3">
      <c r="A100">
        <v>10</v>
      </c>
      <c r="B100" t="s">
        <v>652</v>
      </c>
      <c r="C100" t="s">
        <v>653</v>
      </c>
      <c r="D100" t="s">
        <v>628</v>
      </c>
      <c r="E100" s="4">
        <v>799</v>
      </c>
    </row>
    <row r="101" spans="1:5" x14ac:dyDescent="0.3">
      <c r="A101">
        <v>10</v>
      </c>
      <c r="B101" t="s">
        <v>652</v>
      </c>
      <c r="C101" t="s">
        <v>653</v>
      </c>
      <c r="D101" t="s">
        <v>631</v>
      </c>
      <c r="E101" s="4">
        <v>98</v>
      </c>
    </row>
    <row r="102" spans="1:5" x14ac:dyDescent="0.3">
      <c r="A102">
        <v>10</v>
      </c>
      <c r="B102" t="s">
        <v>652</v>
      </c>
      <c r="C102" t="s">
        <v>653</v>
      </c>
      <c r="D102" t="s">
        <v>632</v>
      </c>
      <c r="E102" s="4">
        <v>399</v>
      </c>
    </row>
    <row r="103" spans="1:5" x14ac:dyDescent="0.3">
      <c r="A103">
        <v>10</v>
      </c>
      <c r="B103" t="s">
        <v>652</v>
      </c>
      <c r="C103" t="s">
        <v>653</v>
      </c>
      <c r="D103" t="s">
        <v>633</v>
      </c>
      <c r="E103" s="4">
        <v>1499</v>
      </c>
    </row>
    <row r="104" spans="1:5" x14ac:dyDescent="0.3">
      <c r="A104">
        <v>10</v>
      </c>
      <c r="B104" t="s">
        <v>652</v>
      </c>
      <c r="C104" t="s">
        <v>653</v>
      </c>
      <c r="D104" t="s">
        <v>634</v>
      </c>
      <c r="E104" s="4">
        <v>499</v>
      </c>
    </row>
    <row r="105" spans="1:5" x14ac:dyDescent="0.3">
      <c r="A105">
        <v>10</v>
      </c>
      <c r="B105" t="s">
        <v>652</v>
      </c>
      <c r="C105" t="s">
        <v>653</v>
      </c>
      <c r="D105" t="s">
        <v>635</v>
      </c>
      <c r="E105" s="4">
        <v>2999</v>
      </c>
    </row>
    <row r="106" spans="1:5" x14ac:dyDescent="0.3">
      <c r="A106">
        <v>10</v>
      </c>
      <c r="B106" t="s">
        <v>652</v>
      </c>
      <c r="C106" t="s">
        <v>653</v>
      </c>
      <c r="D106" t="s">
        <v>636</v>
      </c>
      <c r="E106" s="4">
        <v>49</v>
      </c>
    </row>
    <row r="107" spans="1:5" x14ac:dyDescent="0.3">
      <c r="A107">
        <v>10</v>
      </c>
      <c r="B107" t="s">
        <v>652</v>
      </c>
      <c r="C107" t="s">
        <v>653</v>
      </c>
      <c r="D107" t="s">
        <v>639</v>
      </c>
      <c r="E107" s="4">
        <v>499</v>
      </c>
    </row>
    <row r="108" spans="1:5" x14ac:dyDescent="0.3">
      <c r="A108">
        <v>10</v>
      </c>
      <c r="B108" t="s">
        <v>652</v>
      </c>
      <c r="C108" t="s">
        <v>653</v>
      </c>
      <c r="D108" t="s">
        <v>640</v>
      </c>
      <c r="E108" s="4">
        <v>4999</v>
      </c>
    </row>
    <row r="109" spans="1:5" x14ac:dyDescent="0.3">
      <c r="A109">
        <v>10</v>
      </c>
      <c r="B109" t="s">
        <v>652</v>
      </c>
      <c r="C109" t="s">
        <v>653</v>
      </c>
      <c r="D109" t="s">
        <v>641</v>
      </c>
      <c r="E109" s="4">
        <v>398</v>
      </c>
    </row>
    <row r="110" spans="1:5" x14ac:dyDescent="0.3">
      <c r="A110">
        <v>10</v>
      </c>
      <c r="B110" t="s">
        <v>652</v>
      </c>
      <c r="C110" t="s">
        <v>653</v>
      </c>
      <c r="D110" t="s">
        <v>649</v>
      </c>
      <c r="E110" s="4">
        <v>799</v>
      </c>
    </row>
    <row r="111" spans="1:5" x14ac:dyDescent="0.3">
      <c r="A111">
        <v>11</v>
      </c>
      <c r="B111" t="s">
        <v>652</v>
      </c>
      <c r="C111" t="s">
        <v>653</v>
      </c>
      <c r="D111" t="s">
        <v>624</v>
      </c>
      <c r="E111" s="4">
        <v>1499</v>
      </c>
    </row>
    <row r="112" spans="1:5" x14ac:dyDescent="0.3">
      <c r="A112">
        <v>11</v>
      </c>
      <c r="B112" t="s">
        <v>652</v>
      </c>
      <c r="C112" t="s">
        <v>653</v>
      </c>
      <c r="D112" t="s">
        <v>626</v>
      </c>
      <c r="E112" s="4">
        <v>1499</v>
      </c>
    </row>
    <row r="113" spans="1:5" x14ac:dyDescent="0.3">
      <c r="A113">
        <v>11</v>
      </c>
      <c r="B113" t="s">
        <v>652</v>
      </c>
      <c r="C113" t="s">
        <v>653</v>
      </c>
      <c r="D113" t="s">
        <v>627</v>
      </c>
      <c r="E113" s="4">
        <v>49</v>
      </c>
    </row>
    <row r="114" spans="1:5" x14ac:dyDescent="0.3">
      <c r="A114">
        <v>11</v>
      </c>
      <c r="B114" t="s">
        <v>652</v>
      </c>
      <c r="C114" t="s">
        <v>653</v>
      </c>
      <c r="D114" t="s">
        <v>631</v>
      </c>
      <c r="E114" s="4">
        <v>4999</v>
      </c>
    </row>
    <row r="115" spans="1:5" x14ac:dyDescent="0.3">
      <c r="A115">
        <v>11</v>
      </c>
      <c r="B115" t="s">
        <v>652</v>
      </c>
      <c r="C115" t="s">
        <v>653</v>
      </c>
      <c r="D115" t="s">
        <v>638</v>
      </c>
      <c r="E115" s="4">
        <v>499</v>
      </c>
    </row>
    <row r="116" spans="1:5" x14ac:dyDescent="0.3">
      <c r="A116">
        <v>11</v>
      </c>
      <c r="B116" t="s">
        <v>652</v>
      </c>
      <c r="C116" t="s">
        <v>653</v>
      </c>
      <c r="D116" t="s">
        <v>640</v>
      </c>
      <c r="E116" s="4">
        <v>299</v>
      </c>
    </row>
    <row r="117" spans="1:5" x14ac:dyDescent="0.3">
      <c r="A117">
        <v>11</v>
      </c>
      <c r="B117" t="s">
        <v>652</v>
      </c>
      <c r="C117" t="s">
        <v>653</v>
      </c>
      <c r="D117" t="s">
        <v>641</v>
      </c>
      <c r="E117" s="4">
        <v>149</v>
      </c>
    </row>
    <row r="118" spans="1:5" x14ac:dyDescent="0.3">
      <c r="A118">
        <v>11</v>
      </c>
      <c r="B118" t="s">
        <v>652</v>
      </c>
      <c r="C118" t="s">
        <v>653</v>
      </c>
      <c r="D118" t="s">
        <v>644</v>
      </c>
      <c r="E118" s="4">
        <v>1798</v>
      </c>
    </row>
    <row r="119" spans="1:5" x14ac:dyDescent="0.3">
      <c r="A119">
        <v>11</v>
      </c>
      <c r="B119" t="s">
        <v>652</v>
      </c>
      <c r="C119" t="s">
        <v>653</v>
      </c>
      <c r="D119" t="s">
        <v>649</v>
      </c>
      <c r="E119" s="4">
        <v>149</v>
      </c>
    </row>
    <row r="120" spans="1:5" x14ac:dyDescent="0.3">
      <c r="A120">
        <v>12</v>
      </c>
      <c r="B120" t="s">
        <v>652</v>
      </c>
      <c r="C120" t="s">
        <v>653</v>
      </c>
      <c r="D120" t="s">
        <v>621</v>
      </c>
      <c r="E120" s="4">
        <v>548</v>
      </c>
    </row>
    <row r="121" spans="1:5" x14ac:dyDescent="0.3">
      <c r="A121">
        <v>12</v>
      </c>
      <c r="B121" t="s">
        <v>652</v>
      </c>
      <c r="C121" t="s">
        <v>653</v>
      </c>
      <c r="D121" t="s">
        <v>629</v>
      </c>
      <c r="E121" s="4">
        <v>799</v>
      </c>
    </row>
    <row r="122" spans="1:5" x14ac:dyDescent="0.3">
      <c r="A122">
        <v>12</v>
      </c>
      <c r="B122" t="s">
        <v>652</v>
      </c>
      <c r="C122" t="s">
        <v>653</v>
      </c>
      <c r="D122" t="s">
        <v>632</v>
      </c>
      <c r="E122" s="4">
        <v>1998</v>
      </c>
    </row>
    <row r="123" spans="1:5" x14ac:dyDescent="0.3">
      <c r="A123">
        <v>12</v>
      </c>
      <c r="B123" t="s">
        <v>652</v>
      </c>
      <c r="C123" t="s">
        <v>653</v>
      </c>
      <c r="D123" t="s">
        <v>634</v>
      </c>
      <c r="E123" s="4">
        <v>548</v>
      </c>
    </row>
    <row r="124" spans="1:5" x14ac:dyDescent="0.3">
      <c r="A124">
        <v>12</v>
      </c>
      <c r="B124" t="s">
        <v>652</v>
      </c>
      <c r="C124" t="s">
        <v>653</v>
      </c>
      <c r="D124" t="s">
        <v>638</v>
      </c>
      <c r="E124" s="4">
        <v>799</v>
      </c>
    </row>
    <row r="125" spans="1:5" x14ac:dyDescent="0.3">
      <c r="A125">
        <v>12</v>
      </c>
      <c r="B125" t="s">
        <v>652</v>
      </c>
      <c r="C125" t="s">
        <v>653</v>
      </c>
      <c r="D125" t="s">
        <v>642</v>
      </c>
      <c r="E125" s="4">
        <v>99</v>
      </c>
    </row>
    <row r="126" spans="1:5" x14ac:dyDescent="0.3">
      <c r="A126">
        <v>12</v>
      </c>
      <c r="B126" t="s">
        <v>652</v>
      </c>
      <c r="C126" t="s">
        <v>653</v>
      </c>
      <c r="D126" t="s">
        <v>643</v>
      </c>
      <c r="E126" s="4">
        <v>448</v>
      </c>
    </row>
    <row r="127" spans="1:5" x14ac:dyDescent="0.3">
      <c r="A127">
        <v>12</v>
      </c>
      <c r="B127" t="s">
        <v>652</v>
      </c>
      <c r="C127" t="s">
        <v>653</v>
      </c>
      <c r="D127" t="s">
        <v>647</v>
      </c>
      <c r="E127" s="4">
        <v>149</v>
      </c>
    </row>
    <row r="128" spans="1:5" x14ac:dyDescent="0.3">
      <c r="A128">
        <v>12</v>
      </c>
      <c r="B128" t="s">
        <v>652</v>
      </c>
      <c r="C128" t="s">
        <v>653</v>
      </c>
      <c r="D128" t="s">
        <v>650</v>
      </c>
      <c r="E128" s="4">
        <v>4999</v>
      </c>
    </row>
    <row r="129" spans="1:5" x14ac:dyDescent="0.3">
      <c r="A129">
        <v>13</v>
      </c>
      <c r="B129" t="s">
        <v>652</v>
      </c>
      <c r="C129" t="s">
        <v>653</v>
      </c>
      <c r="D129" t="s">
        <v>628</v>
      </c>
      <c r="E129" s="4">
        <v>149</v>
      </c>
    </row>
    <row r="130" spans="1:5" x14ac:dyDescent="0.3">
      <c r="A130">
        <v>13</v>
      </c>
      <c r="B130" t="s">
        <v>652</v>
      </c>
      <c r="C130" t="s">
        <v>653</v>
      </c>
      <c r="D130" t="s">
        <v>629</v>
      </c>
      <c r="E130" s="4">
        <v>198</v>
      </c>
    </row>
    <row r="131" spans="1:5" x14ac:dyDescent="0.3">
      <c r="A131">
        <v>13</v>
      </c>
      <c r="B131" t="s">
        <v>652</v>
      </c>
      <c r="C131" t="s">
        <v>653</v>
      </c>
      <c r="D131" t="s">
        <v>630</v>
      </c>
      <c r="E131" s="4">
        <v>99</v>
      </c>
    </row>
    <row r="132" spans="1:5" x14ac:dyDescent="0.3">
      <c r="A132">
        <v>13</v>
      </c>
      <c r="B132" t="s">
        <v>652</v>
      </c>
      <c r="C132" t="s">
        <v>653</v>
      </c>
      <c r="D132" t="s">
        <v>634</v>
      </c>
      <c r="E132" s="4">
        <v>1499</v>
      </c>
    </row>
    <row r="133" spans="1:5" x14ac:dyDescent="0.3">
      <c r="A133">
        <v>13</v>
      </c>
      <c r="B133" t="s">
        <v>652</v>
      </c>
      <c r="C133" t="s">
        <v>653</v>
      </c>
      <c r="D133" t="s">
        <v>635</v>
      </c>
      <c r="E133" s="4">
        <v>49</v>
      </c>
    </row>
    <row r="134" spans="1:5" x14ac:dyDescent="0.3">
      <c r="A134">
        <v>13</v>
      </c>
      <c r="B134" t="s">
        <v>652</v>
      </c>
      <c r="C134" t="s">
        <v>653</v>
      </c>
      <c r="D134" t="s">
        <v>640</v>
      </c>
      <c r="E134" s="4">
        <v>4999</v>
      </c>
    </row>
    <row r="135" spans="1:5" x14ac:dyDescent="0.3">
      <c r="A135">
        <v>13</v>
      </c>
      <c r="B135" t="s">
        <v>652</v>
      </c>
      <c r="C135" t="s">
        <v>653</v>
      </c>
      <c r="D135" t="s">
        <v>641</v>
      </c>
      <c r="E135" s="4">
        <v>4999</v>
      </c>
    </row>
    <row r="136" spans="1:5" x14ac:dyDescent="0.3">
      <c r="A136">
        <v>13</v>
      </c>
      <c r="B136" t="s">
        <v>652</v>
      </c>
      <c r="C136" t="s">
        <v>653</v>
      </c>
      <c r="D136" t="s">
        <v>644</v>
      </c>
      <c r="E136" s="4">
        <v>2999</v>
      </c>
    </row>
    <row r="137" spans="1:5" x14ac:dyDescent="0.3">
      <c r="A137">
        <v>13</v>
      </c>
      <c r="B137" t="s">
        <v>652</v>
      </c>
      <c r="C137" t="s">
        <v>653</v>
      </c>
      <c r="D137" t="s">
        <v>646</v>
      </c>
      <c r="E137" s="4">
        <v>299</v>
      </c>
    </row>
    <row r="138" spans="1:5" x14ac:dyDescent="0.3">
      <c r="A138">
        <v>13</v>
      </c>
      <c r="B138" t="s">
        <v>652</v>
      </c>
      <c r="C138" t="s">
        <v>653</v>
      </c>
      <c r="D138" t="s">
        <v>647</v>
      </c>
      <c r="E138" s="4">
        <v>99</v>
      </c>
    </row>
    <row r="139" spans="1:5" x14ac:dyDescent="0.3">
      <c r="A139">
        <v>13</v>
      </c>
      <c r="B139" t="s">
        <v>652</v>
      </c>
      <c r="C139" t="s">
        <v>653</v>
      </c>
      <c r="D139" t="s">
        <v>648</v>
      </c>
      <c r="E139" s="4">
        <v>2999</v>
      </c>
    </row>
    <row r="140" spans="1:5" x14ac:dyDescent="0.3">
      <c r="A140">
        <v>14</v>
      </c>
      <c r="B140" t="s">
        <v>652</v>
      </c>
      <c r="C140" t="s">
        <v>653</v>
      </c>
      <c r="D140" t="s">
        <v>621</v>
      </c>
      <c r="E140" s="4">
        <v>299</v>
      </c>
    </row>
    <row r="141" spans="1:5" x14ac:dyDescent="0.3">
      <c r="A141">
        <v>14</v>
      </c>
      <c r="B141" t="s">
        <v>652</v>
      </c>
      <c r="C141" t="s">
        <v>653</v>
      </c>
      <c r="D141" t="s">
        <v>622</v>
      </c>
      <c r="E141" s="4">
        <v>1499</v>
      </c>
    </row>
    <row r="142" spans="1:5" x14ac:dyDescent="0.3">
      <c r="A142">
        <v>14</v>
      </c>
      <c r="B142" t="s">
        <v>652</v>
      </c>
      <c r="C142" t="s">
        <v>653</v>
      </c>
      <c r="D142" t="s">
        <v>623</v>
      </c>
      <c r="E142" s="4">
        <v>149</v>
      </c>
    </row>
    <row r="143" spans="1:5" x14ac:dyDescent="0.3">
      <c r="A143">
        <v>14</v>
      </c>
      <c r="B143" t="s">
        <v>652</v>
      </c>
      <c r="C143" t="s">
        <v>653</v>
      </c>
      <c r="D143" t="s">
        <v>624</v>
      </c>
      <c r="E143" s="4">
        <v>99</v>
      </c>
    </row>
    <row r="144" spans="1:5" x14ac:dyDescent="0.3">
      <c r="A144">
        <v>14</v>
      </c>
      <c r="B144" t="s">
        <v>652</v>
      </c>
      <c r="C144" t="s">
        <v>653</v>
      </c>
      <c r="D144" t="s">
        <v>625</v>
      </c>
      <c r="E144" s="4">
        <v>1499</v>
      </c>
    </row>
    <row r="145" spans="1:5" x14ac:dyDescent="0.3">
      <c r="A145">
        <v>14</v>
      </c>
      <c r="B145" t="s">
        <v>652</v>
      </c>
      <c r="C145" t="s">
        <v>653</v>
      </c>
      <c r="D145" t="s">
        <v>627</v>
      </c>
      <c r="E145" s="4">
        <v>49</v>
      </c>
    </row>
    <row r="146" spans="1:5" x14ac:dyDescent="0.3">
      <c r="A146">
        <v>14</v>
      </c>
      <c r="B146" t="s">
        <v>652</v>
      </c>
      <c r="C146" t="s">
        <v>653</v>
      </c>
      <c r="D146" t="s">
        <v>628</v>
      </c>
      <c r="E146" s="4">
        <v>799</v>
      </c>
    </row>
    <row r="147" spans="1:5" x14ac:dyDescent="0.3">
      <c r="A147">
        <v>14</v>
      </c>
      <c r="B147" t="s">
        <v>652</v>
      </c>
      <c r="C147" t="s">
        <v>653</v>
      </c>
      <c r="D147" t="s">
        <v>638</v>
      </c>
      <c r="E147" s="4">
        <v>99</v>
      </c>
    </row>
    <row r="148" spans="1:5" x14ac:dyDescent="0.3">
      <c r="A148">
        <v>14</v>
      </c>
      <c r="B148" t="s">
        <v>652</v>
      </c>
      <c r="C148" t="s">
        <v>653</v>
      </c>
      <c r="D148" t="s">
        <v>639</v>
      </c>
      <c r="E148" s="4">
        <v>99</v>
      </c>
    </row>
    <row r="149" spans="1:5" x14ac:dyDescent="0.3">
      <c r="A149">
        <v>14</v>
      </c>
      <c r="B149" t="s">
        <v>652</v>
      </c>
      <c r="C149" t="s">
        <v>653</v>
      </c>
      <c r="D149" t="s">
        <v>640</v>
      </c>
      <c r="E149" s="4">
        <v>299</v>
      </c>
    </row>
    <row r="150" spans="1:5" x14ac:dyDescent="0.3">
      <c r="A150">
        <v>14</v>
      </c>
      <c r="B150" t="s">
        <v>652</v>
      </c>
      <c r="C150" t="s">
        <v>653</v>
      </c>
      <c r="D150" t="s">
        <v>645</v>
      </c>
      <c r="E150" s="4">
        <v>1598</v>
      </c>
    </row>
    <row r="151" spans="1:5" x14ac:dyDescent="0.3">
      <c r="A151">
        <v>15</v>
      </c>
      <c r="B151" t="s">
        <v>652</v>
      </c>
      <c r="C151" t="s">
        <v>653</v>
      </c>
      <c r="D151" t="s">
        <v>621</v>
      </c>
      <c r="E151" s="4">
        <v>499</v>
      </c>
    </row>
    <row r="152" spans="1:5" x14ac:dyDescent="0.3">
      <c r="A152">
        <v>15</v>
      </c>
      <c r="B152" t="s">
        <v>652</v>
      </c>
      <c r="C152" t="s">
        <v>653</v>
      </c>
      <c r="D152" t="s">
        <v>627</v>
      </c>
      <c r="E152" s="4">
        <v>49</v>
      </c>
    </row>
    <row r="153" spans="1:5" x14ac:dyDescent="0.3">
      <c r="A153">
        <v>15</v>
      </c>
      <c r="B153" t="s">
        <v>652</v>
      </c>
      <c r="C153" t="s">
        <v>653</v>
      </c>
      <c r="D153" t="s">
        <v>630</v>
      </c>
      <c r="E153" s="4">
        <v>49</v>
      </c>
    </row>
    <row r="154" spans="1:5" x14ac:dyDescent="0.3">
      <c r="A154">
        <v>15</v>
      </c>
      <c r="B154" t="s">
        <v>652</v>
      </c>
      <c r="C154" t="s">
        <v>653</v>
      </c>
      <c r="D154" t="s">
        <v>633</v>
      </c>
      <c r="E154" s="4">
        <v>299</v>
      </c>
    </row>
    <row r="155" spans="1:5" x14ac:dyDescent="0.3">
      <c r="A155">
        <v>15</v>
      </c>
      <c r="B155" t="s">
        <v>652</v>
      </c>
      <c r="C155" t="s">
        <v>653</v>
      </c>
      <c r="D155" t="s">
        <v>634</v>
      </c>
      <c r="E155" s="4">
        <v>399</v>
      </c>
    </row>
    <row r="156" spans="1:5" x14ac:dyDescent="0.3">
      <c r="A156">
        <v>15</v>
      </c>
      <c r="B156" t="s">
        <v>652</v>
      </c>
      <c r="C156" t="s">
        <v>653</v>
      </c>
      <c r="D156" t="s">
        <v>639</v>
      </c>
      <c r="E156" s="4">
        <v>499</v>
      </c>
    </row>
    <row r="157" spans="1:5" x14ac:dyDescent="0.3">
      <c r="A157">
        <v>15</v>
      </c>
      <c r="B157" t="s">
        <v>652</v>
      </c>
      <c r="C157" t="s">
        <v>653</v>
      </c>
      <c r="D157" t="s">
        <v>644</v>
      </c>
      <c r="E157" s="4">
        <v>148</v>
      </c>
    </row>
    <row r="158" spans="1:5" x14ac:dyDescent="0.3">
      <c r="A158">
        <v>15</v>
      </c>
      <c r="B158" t="s">
        <v>652</v>
      </c>
      <c r="C158" t="s">
        <v>653</v>
      </c>
      <c r="D158" t="s">
        <v>646</v>
      </c>
      <c r="E158" s="4">
        <v>4999</v>
      </c>
    </row>
    <row r="159" spans="1:5" x14ac:dyDescent="0.3">
      <c r="A159">
        <v>15</v>
      </c>
      <c r="B159" t="s">
        <v>652</v>
      </c>
      <c r="C159" t="s">
        <v>653</v>
      </c>
      <c r="D159" t="s">
        <v>647</v>
      </c>
      <c r="E159" s="4">
        <v>799</v>
      </c>
    </row>
    <row r="160" spans="1:5" x14ac:dyDescent="0.3">
      <c r="A160">
        <v>15</v>
      </c>
      <c r="B160" t="s">
        <v>652</v>
      </c>
      <c r="C160" t="s">
        <v>653</v>
      </c>
      <c r="D160" t="s">
        <v>649</v>
      </c>
      <c r="E160" s="4">
        <v>98</v>
      </c>
    </row>
    <row r="161" spans="1:5" x14ac:dyDescent="0.3">
      <c r="A161">
        <v>16</v>
      </c>
      <c r="B161" t="s">
        <v>652</v>
      </c>
      <c r="C161" t="s">
        <v>653</v>
      </c>
      <c r="D161" t="s">
        <v>622</v>
      </c>
      <c r="E161" s="4">
        <v>499</v>
      </c>
    </row>
    <row r="162" spans="1:5" x14ac:dyDescent="0.3">
      <c r="A162">
        <v>16</v>
      </c>
      <c r="B162" t="s">
        <v>652</v>
      </c>
      <c r="C162" t="s">
        <v>653</v>
      </c>
      <c r="D162" t="s">
        <v>623</v>
      </c>
      <c r="E162" s="4">
        <v>99</v>
      </c>
    </row>
    <row r="163" spans="1:5" x14ac:dyDescent="0.3">
      <c r="A163">
        <v>16</v>
      </c>
      <c r="B163" t="s">
        <v>652</v>
      </c>
      <c r="C163" t="s">
        <v>653</v>
      </c>
      <c r="D163" t="s">
        <v>624</v>
      </c>
      <c r="E163" s="4">
        <v>49</v>
      </c>
    </row>
    <row r="164" spans="1:5" x14ac:dyDescent="0.3">
      <c r="A164">
        <v>16</v>
      </c>
      <c r="B164" t="s">
        <v>652</v>
      </c>
      <c r="C164" t="s">
        <v>653</v>
      </c>
      <c r="D164" t="s">
        <v>625</v>
      </c>
      <c r="E164" s="4">
        <v>149</v>
      </c>
    </row>
    <row r="165" spans="1:5" x14ac:dyDescent="0.3">
      <c r="A165">
        <v>16</v>
      </c>
      <c r="B165" t="s">
        <v>652</v>
      </c>
      <c r="C165" t="s">
        <v>653</v>
      </c>
      <c r="D165" t="s">
        <v>631</v>
      </c>
      <c r="E165" s="4">
        <v>499</v>
      </c>
    </row>
    <row r="166" spans="1:5" x14ac:dyDescent="0.3">
      <c r="A166">
        <v>16</v>
      </c>
      <c r="B166" t="s">
        <v>652</v>
      </c>
      <c r="C166" t="s">
        <v>653</v>
      </c>
      <c r="D166" t="s">
        <v>635</v>
      </c>
      <c r="E166" s="4">
        <v>2999</v>
      </c>
    </row>
    <row r="167" spans="1:5" x14ac:dyDescent="0.3">
      <c r="A167">
        <v>16</v>
      </c>
      <c r="B167" t="s">
        <v>652</v>
      </c>
      <c r="C167" t="s">
        <v>653</v>
      </c>
      <c r="D167" t="s">
        <v>638</v>
      </c>
      <c r="E167" s="4">
        <v>49</v>
      </c>
    </row>
    <row r="168" spans="1:5" x14ac:dyDescent="0.3">
      <c r="A168">
        <v>16</v>
      </c>
      <c r="B168" t="s">
        <v>652</v>
      </c>
      <c r="C168" t="s">
        <v>653</v>
      </c>
      <c r="D168" t="s">
        <v>640</v>
      </c>
      <c r="E168" s="4">
        <v>448</v>
      </c>
    </row>
    <row r="169" spans="1:5" x14ac:dyDescent="0.3">
      <c r="A169">
        <v>16</v>
      </c>
      <c r="B169" t="s">
        <v>652</v>
      </c>
      <c r="C169" t="s">
        <v>653</v>
      </c>
      <c r="D169" t="s">
        <v>643</v>
      </c>
      <c r="E169" s="4">
        <v>399</v>
      </c>
    </row>
    <row r="170" spans="1:5" x14ac:dyDescent="0.3">
      <c r="A170">
        <v>16</v>
      </c>
      <c r="B170" t="s">
        <v>652</v>
      </c>
      <c r="C170" t="s">
        <v>653</v>
      </c>
      <c r="D170" t="s">
        <v>644</v>
      </c>
      <c r="E170" s="4">
        <v>1548</v>
      </c>
    </row>
    <row r="171" spans="1:5" x14ac:dyDescent="0.3">
      <c r="A171">
        <v>16</v>
      </c>
      <c r="B171" t="s">
        <v>652</v>
      </c>
      <c r="C171" t="s">
        <v>653</v>
      </c>
      <c r="D171" t="s">
        <v>645</v>
      </c>
      <c r="E171" s="4">
        <v>98</v>
      </c>
    </row>
    <row r="172" spans="1:5" x14ac:dyDescent="0.3">
      <c r="A172">
        <v>16</v>
      </c>
      <c r="B172" t="s">
        <v>652</v>
      </c>
      <c r="C172" t="s">
        <v>653</v>
      </c>
      <c r="D172" t="s">
        <v>647</v>
      </c>
      <c r="E172" s="4">
        <v>348</v>
      </c>
    </row>
    <row r="173" spans="1:5" x14ac:dyDescent="0.3">
      <c r="A173">
        <v>16</v>
      </c>
      <c r="B173" t="s">
        <v>652</v>
      </c>
      <c r="C173" t="s">
        <v>653</v>
      </c>
      <c r="D173" t="s">
        <v>648</v>
      </c>
      <c r="E173" s="4">
        <v>49</v>
      </c>
    </row>
    <row r="174" spans="1:5" x14ac:dyDescent="0.3">
      <c r="A174">
        <v>16</v>
      </c>
      <c r="B174" t="s">
        <v>652</v>
      </c>
      <c r="C174" t="s">
        <v>653</v>
      </c>
      <c r="D174" t="s">
        <v>649</v>
      </c>
      <c r="E174" s="4">
        <v>2999</v>
      </c>
    </row>
    <row r="175" spans="1:5" x14ac:dyDescent="0.3">
      <c r="A175">
        <v>16</v>
      </c>
      <c r="B175" t="s">
        <v>652</v>
      </c>
      <c r="C175" t="s">
        <v>653</v>
      </c>
      <c r="D175" t="s">
        <v>650</v>
      </c>
      <c r="E175" s="4">
        <v>898</v>
      </c>
    </row>
    <row r="176" spans="1:5" x14ac:dyDescent="0.3">
      <c r="A176">
        <v>17</v>
      </c>
      <c r="B176" t="s">
        <v>652</v>
      </c>
      <c r="C176" t="s">
        <v>653</v>
      </c>
      <c r="D176" t="s">
        <v>621</v>
      </c>
      <c r="E176" s="4">
        <v>1499</v>
      </c>
    </row>
    <row r="177" spans="1:5" x14ac:dyDescent="0.3">
      <c r="A177">
        <v>17</v>
      </c>
      <c r="B177" t="s">
        <v>652</v>
      </c>
      <c r="C177" t="s">
        <v>653</v>
      </c>
      <c r="D177" t="s">
        <v>622</v>
      </c>
      <c r="E177" s="4">
        <v>299</v>
      </c>
    </row>
    <row r="178" spans="1:5" x14ac:dyDescent="0.3">
      <c r="A178">
        <v>17</v>
      </c>
      <c r="B178" t="s">
        <v>652</v>
      </c>
      <c r="C178" t="s">
        <v>653</v>
      </c>
      <c r="D178" t="s">
        <v>623</v>
      </c>
      <c r="E178" s="4">
        <v>398</v>
      </c>
    </row>
    <row r="179" spans="1:5" x14ac:dyDescent="0.3">
      <c r="A179">
        <v>17</v>
      </c>
      <c r="B179" t="s">
        <v>652</v>
      </c>
      <c r="C179" t="s">
        <v>653</v>
      </c>
      <c r="D179" t="s">
        <v>631</v>
      </c>
      <c r="E179" s="4">
        <v>7998</v>
      </c>
    </row>
    <row r="180" spans="1:5" x14ac:dyDescent="0.3">
      <c r="A180">
        <v>17</v>
      </c>
      <c r="B180" t="s">
        <v>652</v>
      </c>
      <c r="C180" t="s">
        <v>653</v>
      </c>
      <c r="D180" t="s">
        <v>632</v>
      </c>
      <c r="E180" s="4">
        <v>1499</v>
      </c>
    </row>
    <row r="181" spans="1:5" x14ac:dyDescent="0.3">
      <c r="A181">
        <v>17</v>
      </c>
      <c r="B181" t="s">
        <v>652</v>
      </c>
      <c r="C181" t="s">
        <v>653</v>
      </c>
      <c r="D181" t="s">
        <v>637</v>
      </c>
      <c r="E181" s="4">
        <v>299</v>
      </c>
    </row>
    <row r="182" spans="1:5" x14ac:dyDescent="0.3">
      <c r="A182">
        <v>17</v>
      </c>
      <c r="B182" t="s">
        <v>652</v>
      </c>
      <c r="C182" t="s">
        <v>653</v>
      </c>
      <c r="D182" t="s">
        <v>638</v>
      </c>
      <c r="E182" s="4">
        <v>198</v>
      </c>
    </row>
    <row r="183" spans="1:5" x14ac:dyDescent="0.3">
      <c r="A183">
        <v>17</v>
      </c>
      <c r="B183" t="s">
        <v>652</v>
      </c>
      <c r="C183" t="s">
        <v>653</v>
      </c>
      <c r="D183" t="s">
        <v>639</v>
      </c>
      <c r="E183" s="4">
        <v>49</v>
      </c>
    </row>
    <row r="184" spans="1:5" x14ac:dyDescent="0.3">
      <c r="A184">
        <v>17</v>
      </c>
      <c r="B184" t="s">
        <v>652</v>
      </c>
      <c r="C184" t="s">
        <v>653</v>
      </c>
      <c r="D184" t="s">
        <v>648</v>
      </c>
      <c r="E184" s="4">
        <v>299</v>
      </c>
    </row>
    <row r="185" spans="1:5" x14ac:dyDescent="0.3">
      <c r="A185">
        <v>17</v>
      </c>
      <c r="B185" t="s">
        <v>652</v>
      </c>
      <c r="C185" t="s">
        <v>653</v>
      </c>
      <c r="D185" t="s">
        <v>650</v>
      </c>
      <c r="E185" s="4">
        <v>499</v>
      </c>
    </row>
    <row r="186" spans="1:5" x14ac:dyDescent="0.3">
      <c r="A186">
        <v>18</v>
      </c>
      <c r="B186" t="s">
        <v>652</v>
      </c>
      <c r="C186" t="s">
        <v>653</v>
      </c>
      <c r="D186" t="s">
        <v>626</v>
      </c>
      <c r="E186" s="4">
        <v>499</v>
      </c>
    </row>
    <row r="187" spans="1:5" x14ac:dyDescent="0.3">
      <c r="A187">
        <v>18</v>
      </c>
      <c r="B187" t="s">
        <v>652</v>
      </c>
      <c r="C187" t="s">
        <v>653</v>
      </c>
      <c r="D187" t="s">
        <v>631</v>
      </c>
      <c r="E187" s="4">
        <v>799</v>
      </c>
    </row>
    <row r="188" spans="1:5" x14ac:dyDescent="0.3">
      <c r="A188">
        <v>18</v>
      </c>
      <c r="B188" t="s">
        <v>652</v>
      </c>
      <c r="C188" t="s">
        <v>653</v>
      </c>
      <c r="D188" t="s">
        <v>632</v>
      </c>
      <c r="E188" s="4">
        <v>49</v>
      </c>
    </row>
    <row r="189" spans="1:5" x14ac:dyDescent="0.3">
      <c r="A189">
        <v>18</v>
      </c>
      <c r="B189" t="s">
        <v>652</v>
      </c>
      <c r="C189" t="s">
        <v>653</v>
      </c>
      <c r="D189" t="s">
        <v>634</v>
      </c>
      <c r="E189" s="4">
        <v>149</v>
      </c>
    </row>
    <row r="190" spans="1:5" x14ac:dyDescent="0.3">
      <c r="A190">
        <v>18</v>
      </c>
      <c r="B190" t="s">
        <v>652</v>
      </c>
      <c r="C190" t="s">
        <v>653</v>
      </c>
      <c r="D190" t="s">
        <v>635</v>
      </c>
      <c r="E190" s="4">
        <v>149</v>
      </c>
    </row>
    <row r="191" spans="1:5" x14ac:dyDescent="0.3">
      <c r="A191">
        <v>18</v>
      </c>
      <c r="B191" t="s">
        <v>652</v>
      </c>
      <c r="C191" t="s">
        <v>653</v>
      </c>
      <c r="D191" t="s">
        <v>636</v>
      </c>
      <c r="E191" s="4">
        <v>3148</v>
      </c>
    </row>
    <row r="192" spans="1:5" x14ac:dyDescent="0.3">
      <c r="A192">
        <v>18</v>
      </c>
      <c r="B192" t="s">
        <v>652</v>
      </c>
      <c r="C192" t="s">
        <v>653</v>
      </c>
      <c r="D192" t="s">
        <v>638</v>
      </c>
      <c r="E192" s="4">
        <v>499</v>
      </c>
    </row>
    <row r="193" spans="1:5" x14ac:dyDescent="0.3">
      <c r="A193">
        <v>18</v>
      </c>
      <c r="B193" t="s">
        <v>652</v>
      </c>
      <c r="C193" t="s">
        <v>653</v>
      </c>
      <c r="D193" t="s">
        <v>640</v>
      </c>
      <c r="E193" s="4">
        <v>149</v>
      </c>
    </row>
    <row r="194" spans="1:5" x14ac:dyDescent="0.3">
      <c r="A194">
        <v>18</v>
      </c>
      <c r="B194" t="s">
        <v>652</v>
      </c>
      <c r="C194" t="s">
        <v>653</v>
      </c>
      <c r="D194" t="s">
        <v>645</v>
      </c>
      <c r="E194" s="4">
        <v>1648</v>
      </c>
    </row>
    <row r="195" spans="1:5" x14ac:dyDescent="0.3">
      <c r="A195">
        <v>19</v>
      </c>
      <c r="B195" t="s">
        <v>652</v>
      </c>
      <c r="C195" t="s">
        <v>653</v>
      </c>
      <c r="D195" t="s">
        <v>622</v>
      </c>
      <c r="E195" s="4">
        <v>149</v>
      </c>
    </row>
    <row r="196" spans="1:5" x14ac:dyDescent="0.3">
      <c r="A196">
        <v>19</v>
      </c>
      <c r="B196" t="s">
        <v>652</v>
      </c>
      <c r="C196" t="s">
        <v>653</v>
      </c>
      <c r="D196" t="s">
        <v>626</v>
      </c>
      <c r="E196" s="4">
        <v>499</v>
      </c>
    </row>
    <row r="197" spans="1:5" x14ac:dyDescent="0.3">
      <c r="A197">
        <v>19</v>
      </c>
      <c r="B197" t="s">
        <v>652</v>
      </c>
      <c r="C197" t="s">
        <v>653</v>
      </c>
      <c r="D197" t="s">
        <v>629</v>
      </c>
      <c r="E197" s="4">
        <v>99</v>
      </c>
    </row>
    <row r="198" spans="1:5" x14ac:dyDescent="0.3">
      <c r="A198">
        <v>19</v>
      </c>
      <c r="B198" t="s">
        <v>652</v>
      </c>
      <c r="C198" t="s">
        <v>653</v>
      </c>
      <c r="D198" t="s">
        <v>630</v>
      </c>
      <c r="E198" s="4">
        <v>2999</v>
      </c>
    </row>
    <row r="199" spans="1:5" x14ac:dyDescent="0.3">
      <c r="A199">
        <v>19</v>
      </c>
      <c r="B199" t="s">
        <v>652</v>
      </c>
      <c r="C199" t="s">
        <v>653</v>
      </c>
      <c r="D199" t="s">
        <v>635</v>
      </c>
      <c r="E199" s="4">
        <v>398</v>
      </c>
    </row>
    <row r="200" spans="1:5" x14ac:dyDescent="0.3">
      <c r="A200">
        <v>19</v>
      </c>
      <c r="B200" t="s">
        <v>652</v>
      </c>
      <c r="C200" t="s">
        <v>653</v>
      </c>
      <c r="D200" t="s">
        <v>636</v>
      </c>
      <c r="E200" s="4">
        <v>4999</v>
      </c>
    </row>
    <row r="201" spans="1:5" x14ac:dyDescent="0.3">
      <c r="A201">
        <v>19</v>
      </c>
      <c r="B201" t="s">
        <v>652</v>
      </c>
      <c r="C201" t="s">
        <v>653</v>
      </c>
      <c r="D201" t="s">
        <v>639</v>
      </c>
      <c r="E201" s="4">
        <v>99</v>
      </c>
    </row>
    <row r="202" spans="1:5" x14ac:dyDescent="0.3">
      <c r="A202">
        <v>19</v>
      </c>
      <c r="B202" t="s">
        <v>652</v>
      </c>
      <c r="C202" t="s">
        <v>653</v>
      </c>
      <c r="D202" t="s">
        <v>640</v>
      </c>
      <c r="E202" s="4">
        <v>348</v>
      </c>
    </row>
    <row r="203" spans="1:5" x14ac:dyDescent="0.3">
      <c r="A203">
        <v>19</v>
      </c>
      <c r="B203" t="s">
        <v>652</v>
      </c>
      <c r="C203" t="s">
        <v>653</v>
      </c>
      <c r="D203" t="s">
        <v>642</v>
      </c>
      <c r="E203" s="4">
        <v>2999</v>
      </c>
    </row>
    <row r="204" spans="1:5" x14ac:dyDescent="0.3">
      <c r="A204">
        <v>19</v>
      </c>
      <c r="B204" t="s">
        <v>652</v>
      </c>
      <c r="C204" t="s">
        <v>653</v>
      </c>
      <c r="D204" t="s">
        <v>644</v>
      </c>
      <c r="E204" s="4">
        <v>149</v>
      </c>
    </row>
    <row r="205" spans="1:5" x14ac:dyDescent="0.3">
      <c r="A205">
        <v>19</v>
      </c>
      <c r="B205" t="s">
        <v>652</v>
      </c>
      <c r="C205" t="s">
        <v>653</v>
      </c>
      <c r="D205" t="s">
        <v>645</v>
      </c>
      <c r="E205" s="4">
        <v>49</v>
      </c>
    </row>
    <row r="206" spans="1:5" x14ac:dyDescent="0.3">
      <c r="A206">
        <v>19</v>
      </c>
      <c r="B206" t="s">
        <v>652</v>
      </c>
      <c r="C206" t="s">
        <v>653</v>
      </c>
      <c r="D206" t="s">
        <v>646</v>
      </c>
      <c r="E206" s="4">
        <v>49</v>
      </c>
    </row>
    <row r="207" spans="1:5" x14ac:dyDescent="0.3">
      <c r="A207">
        <v>20</v>
      </c>
      <c r="B207" t="s">
        <v>652</v>
      </c>
      <c r="C207" t="s">
        <v>653</v>
      </c>
      <c r="D207" t="s">
        <v>622</v>
      </c>
      <c r="E207" s="4">
        <v>49</v>
      </c>
    </row>
    <row r="208" spans="1:5" x14ac:dyDescent="0.3">
      <c r="A208">
        <v>20</v>
      </c>
      <c r="B208" t="s">
        <v>652</v>
      </c>
      <c r="C208" t="s">
        <v>653</v>
      </c>
      <c r="D208" t="s">
        <v>623</v>
      </c>
      <c r="E208" s="4">
        <v>348</v>
      </c>
    </row>
    <row r="209" spans="1:5" x14ac:dyDescent="0.3">
      <c r="A209">
        <v>20</v>
      </c>
      <c r="B209" t="s">
        <v>652</v>
      </c>
      <c r="C209" t="s">
        <v>653</v>
      </c>
      <c r="D209" t="s">
        <v>624</v>
      </c>
      <c r="E209" s="4">
        <v>2999</v>
      </c>
    </row>
    <row r="210" spans="1:5" x14ac:dyDescent="0.3">
      <c r="A210">
        <v>20</v>
      </c>
      <c r="B210" t="s">
        <v>652</v>
      </c>
      <c r="C210" t="s">
        <v>653</v>
      </c>
      <c r="D210" t="s">
        <v>630</v>
      </c>
      <c r="E210" s="4">
        <v>149</v>
      </c>
    </row>
    <row r="211" spans="1:5" x14ac:dyDescent="0.3">
      <c r="A211">
        <v>20</v>
      </c>
      <c r="B211" t="s">
        <v>652</v>
      </c>
      <c r="C211" t="s">
        <v>653</v>
      </c>
      <c r="D211" t="s">
        <v>641</v>
      </c>
      <c r="E211" s="4">
        <v>99</v>
      </c>
    </row>
    <row r="212" spans="1:5" x14ac:dyDescent="0.3">
      <c r="A212">
        <v>20</v>
      </c>
      <c r="B212" t="s">
        <v>652</v>
      </c>
      <c r="C212" t="s">
        <v>653</v>
      </c>
      <c r="D212" t="s">
        <v>643</v>
      </c>
      <c r="E212" s="4">
        <v>49</v>
      </c>
    </row>
    <row r="213" spans="1:5" x14ac:dyDescent="0.3">
      <c r="A213">
        <v>20</v>
      </c>
      <c r="B213" t="s">
        <v>652</v>
      </c>
      <c r="C213" t="s">
        <v>653</v>
      </c>
      <c r="D213" t="s">
        <v>644</v>
      </c>
      <c r="E213" s="4">
        <v>49</v>
      </c>
    </row>
    <row r="214" spans="1:5" x14ac:dyDescent="0.3">
      <c r="A214">
        <v>20</v>
      </c>
      <c r="B214" t="s">
        <v>652</v>
      </c>
      <c r="C214" t="s">
        <v>653</v>
      </c>
      <c r="D214" t="s">
        <v>649</v>
      </c>
      <c r="E214" s="4">
        <v>499</v>
      </c>
    </row>
    <row r="215" spans="1:5" x14ac:dyDescent="0.3">
      <c r="A215">
        <v>21</v>
      </c>
      <c r="B215" t="s">
        <v>652</v>
      </c>
      <c r="C215" t="s">
        <v>653</v>
      </c>
      <c r="D215" t="s">
        <v>621</v>
      </c>
      <c r="E215" s="4">
        <v>5298</v>
      </c>
    </row>
    <row r="216" spans="1:5" x14ac:dyDescent="0.3">
      <c r="A216">
        <v>21</v>
      </c>
      <c r="B216" t="s">
        <v>652</v>
      </c>
      <c r="C216" t="s">
        <v>653</v>
      </c>
      <c r="D216" t="s">
        <v>625</v>
      </c>
      <c r="E216" s="4">
        <v>499</v>
      </c>
    </row>
    <row r="217" spans="1:5" x14ac:dyDescent="0.3">
      <c r="A217">
        <v>21</v>
      </c>
      <c r="B217" t="s">
        <v>652</v>
      </c>
      <c r="C217" t="s">
        <v>653</v>
      </c>
      <c r="D217" t="s">
        <v>629</v>
      </c>
      <c r="E217" s="4">
        <v>499</v>
      </c>
    </row>
    <row r="218" spans="1:5" x14ac:dyDescent="0.3">
      <c r="A218">
        <v>21</v>
      </c>
      <c r="B218" t="s">
        <v>652</v>
      </c>
      <c r="C218" t="s">
        <v>653</v>
      </c>
      <c r="D218" t="s">
        <v>634</v>
      </c>
      <c r="E218" s="4">
        <v>49</v>
      </c>
    </row>
    <row r="219" spans="1:5" x14ac:dyDescent="0.3">
      <c r="A219">
        <v>21</v>
      </c>
      <c r="B219" t="s">
        <v>652</v>
      </c>
      <c r="C219" t="s">
        <v>653</v>
      </c>
      <c r="D219" t="s">
        <v>635</v>
      </c>
      <c r="E219" s="4">
        <v>299</v>
      </c>
    </row>
    <row r="220" spans="1:5" x14ac:dyDescent="0.3">
      <c r="A220">
        <v>21</v>
      </c>
      <c r="B220" t="s">
        <v>652</v>
      </c>
      <c r="C220" t="s">
        <v>653</v>
      </c>
      <c r="D220" t="s">
        <v>636</v>
      </c>
      <c r="E220" s="4">
        <v>799</v>
      </c>
    </row>
    <row r="221" spans="1:5" x14ac:dyDescent="0.3">
      <c r="A221">
        <v>21</v>
      </c>
      <c r="B221" t="s">
        <v>652</v>
      </c>
      <c r="C221" t="s">
        <v>653</v>
      </c>
      <c r="D221" t="s">
        <v>638</v>
      </c>
      <c r="E221" s="4">
        <v>799</v>
      </c>
    </row>
    <row r="222" spans="1:5" x14ac:dyDescent="0.3">
      <c r="A222">
        <v>21</v>
      </c>
      <c r="B222" t="s">
        <v>652</v>
      </c>
      <c r="C222" t="s">
        <v>653</v>
      </c>
      <c r="D222" t="s">
        <v>639</v>
      </c>
      <c r="E222" s="4">
        <v>99</v>
      </c>
    </row>
    <row r="223" spans="1:5" x14ac:dyDescent="0.3">
      <c r="A223">
        <v>21</v>
      </c>
      <c r="B223" t="s">
        <v>652</v>
      </c>
      <c r="C223" t="s">
        <v>653</v>
      </c>
      <c r="D223" t="s">
        <v>640</v>
      </c>
      <c r="E223" s="4">
        <v>49</v>
      </c>
    </row>
    <row r="224" spans="1:5" x14ac:dyDescent="0.3">
      <c r="A224">
        <v>21</v>
      </c>
      <c r="B224" t="s">
        <v>652</v>
      </c>
      <c r="C224" t="s">
        <v>653</v>
      </c>
      <c r="D224" t="s">
        <v>641</v>
      </c>
      <c r="E224" s="4">
        <v>49</v>
      </c>
    </row>
    <row r="225" spans="1:5" x14ac:dyDescent="0.3">
      <c r="A225">
        <v>21</v>
      </c>
      <c r="B225" t="s">
        <v>652</v>
      </c>
      <c r="C225" t="s">
        <v>653</v>
      </c>
      <c r="D225" t="s">
        <v>645</v>
      </c>
      <c r="E225" s="4">
        <v>299</v>
      </c>
    </row>
    <row r="226" spans="1:5" x14ac:dyDescent="0.3">
      <c r="A226">
        <v>21</v>
      </c>
      <c r="B226" t="s">
        <v>652</v>
      </c>
      <c r="C226" t="s">
        <v>653</v>
      </c>
      <c r="D226" t="s">
        <v>646</v>
      </c>
      <c r="E226" s="4">
        <v>99</v>
      </c>
    </row>
    <row r="227" spans="1:5" x14ac:dyDescent="0.3">
      <c r="A227">
        <v>21</v>
      </c>
      <c r="B227" t="s">
        <v>652</v>
      </c>
      <c r="C227" t="s">
        <v>653</v>
      </c>
      <c r="D227" t="s">
        <v>647</v>
      </c>
      <c r="E227" s="4">
        <v>49</v>
      </c>
    </row>
    <row r="228" spans="1:5" x14ac:dyDescent="0.3">
      <c r="A228">
        <v>22</v>
      </c>
      <c r="B228" t="s">
        <v>652</v>
      </c>
      <c r="C228" t="s">
        <v>653</v>
      </c>
      <c r="D228" t="s">
        <v>621</v>
      </c>
      <c r="E228" s="4">
        <v>799</v>
      </c>
    </row>
    <row r="229" spans="1:5" x14ac:dyDescent="0.3">
      <c r="A229">
        <v>22</v>
      </c>
      <c r="B229" t="s">
        <v>652</v>
      </c>
      <c r="C229" t="s">
        <v>653</v>
      </c>
      <c r="D229" t="s">
        <v>625</v>
      </c>
      <c r="E229" s="4">
        <v>448</v>
      </c>
    </row>
    <row r="230" spans="1:5" x14ac:dyDescent="0.3">
      <c r="A230">
        <v>22</v>
      </c>
      <c r="B230" t="s">
        <v>652</v>
      </c>
      <c r="C230" t="s">
        <v>653</v>
      </c>
      <c r="D230" t="s">
        <v>627</v>
      </c>
      <c r="E230" s="4">
        <v>499</v>
      </c>
    </row>
    <row r="231" spans="1:5" x14ac:dyDescent="0.3">
      <c r="A231">
        <v>22</v>
      </c>
      <c r="B231" t="s">
        <v>652</v>
      </c>
      <c r="C231" t="s">
        <v>653</v>
      </c>
      <c r="D231" t="s">
        <v>630</v>
      </c>
      <c r="E231" s="4">
        <v>499</v>
      </c>
    </row>
    <row r="232" spans="1:5" x14ac:dyDescent="0.3">
      <c r="A232">
        <v>22</v>
      </c>
      <c r="B232" t="s">
        <v>652</v>
      </c>
      <c r="C232" t="s">
        <v>653</v>
      </c>
      <c r="D232" t="s">
        <v>631</v>
      </c>
      <c r="E232" s="4">
        <v>299</v>
      </c>
    </row>
    <row r="233" spans="1:5" x14ac:dyDescent="0.3">
      <c r="A233">
        <v>22</v>
      </c>
      <c r="B233" t="s">
        <v>652</v>
      </c>
      <c r="C233" t="s">
        <v>653</v>
      </c>
      <c r="D233" t="s">
        <v>632</v>
      </c>
      <c r="E233" s="4">
        <v>1697</v>
      </c>
    </row>
    <row r="234" spans="1:5" x14ac:dyDescent="0.3">
      <c r="A234">
        <v>22</v>
      </c>
      <c r="B234" t="s">
        <v>652</v>
      </c>
      <c r="C234" t="s">
        <v>653</v>
      </c>
      <c r="D234" t="s">
        <v>633</v>
      </c>
      <c r="E234" s="4">
        <v>5798</v>
      </c>
    </row>
    <row r="235" spans="1:5" x14ac:dyDescent="0.3">
      <c r="A235">
        <v>22</v>
      </c>
      <c r="B235" t="s">
        <v>652</v>
      </c>
      <c r="C235" t="s">
        <v>653</v>
      </c>
      <c r="D235" t="s">
        <v>634</v>
      </c>
      <c r="E235" s="4">
        <v>799</v>
      </c>
    </row>
    <row r="236" spans="1:5" x14ac:dyDescent="0.3">
      <c r="A236">
        <v>22</v>
      </c>
      <c r="B236" t="s">
        <v>652</v>
      </c>
      <c r="C236" t="s">
        <v>653</v>
      </c>
      <c r="D236" t="s">
        <v>637</v>
      </c>
      <c r="E236" s="4">
        <v>1598</v>
      </c>
    </row>
    <row r="237" spans="1:5" x14ac:dyDescent="0.3">
      <c r="A237">
        <v>22</v>
      </c>
      <c r="B237" t="s">
        <v>652</v>
      </c>
      <c r="C237" t="s">
        <v>653</v>
      </c>
      <c r="D237" t="s">
        <v>643</v>
      </c>
      <c r="E237" s="4">
        <v>49</v>
      </c>
    </row>
    <row r="238" spans="1:5" x14ac:dyDescent="0.3">
      <c r="A238">
        <v>22</v>
      </c>
      <c r="B238" t="s">
        <v>652</v>
      </c>
      <c r="C238" t="s">
        <v>653</v>
      </c>
      <c r="D238" t="s">
        <v>649</v>
      </c>
      <c r="E238" s="4">
        <v>49</v>
      </c>
    </row>
    <row r="239" spans="1:5" x14ac:dyDescent="0.3">
      <c r="A239">
        <v>23</v>
      </c>
      <c r="B239" t="s">
        <v>652</v>
      </c>
      <c r="C239" t="s">
        <v>653</v>
      </c>
      <c r="D239" t="s">
        <v>628</v>
      </c>
      <c r="E239" s="4">
        <v>99</v>
      </c>
    </row>
    <row r="240" spans="1:5" x14ac:dyDescent="0.3">
      <c r="A240">
        <v>23</v>
      </c>
      <c r="B240" t="s">
        <v>652</v>
      </c>
      <c r="C240" t="s">
        <v>653</v>
      </c>
      <c r="D240" t="s">
        <v>629</v>
      </c>
      <c r="E240" s="4">
        <v>399</v>
      </c>
    </row>
    <row r="241" spans="1:5" x14ac:dyDescent="0.3">
      <c r="A241">
        <v>23</v>
      </c>
      <c r="B241" t="s">
        <v>652</v>
      </c>
      <c r="C241" t="s">
        <v>653</v>
      </c>
      <c r="D241" t="s">
        <v>632</v>
      </c>
      <c r="E241" s="4">
        <v>149</v>
      </c>
    </row>
    <row r="242" spans="1:5" x14ac:dyDescent="0.3">
      <c r="A242">
        <v>23</v>
      </c>
      <c r="B242" t="s">
        <v>652</v>
      </c>
      <c r="C242" t="s">
        <v>653</v>
      </c>
      <c r="D242" t="s">
        <v>637</v>
      </c>
      <c r="E242" s="4">
        <v>49</v>
      </c>
    </row>
    <row r="243" spans="1:5" x14ac:dyDescent="0.3">
      <c r="A243">
        <v>23</v>
      </c>
      <c r="B243" t="s">
        <v>652</v>
      </c>
      <c r="C243" t="s">
        <v>653</v>
      </c>
      <c r="D243" t="s">
        <v>638</v>
      </c>
      <c r="E243" s="4">
        <v>1999</v>
      </c>
    </row>
    <row r="244" spans="1:5" x14ac:dyDescent="0.3">
      <c r="A244">
        <v>23</v>
      </c>
      <c r="B244" t="s">
        <v>652</v>
      </c>
      <c r="C244" t="s">
        <v>653</v>
      </c>
      <c r="D244" t="s">
        <v>642</v>
      </c>
      <c r="E244" s="4">
        <v>49</v>
      </c>
    </row>
    <row r="245" spans="1:5" x14ac:dyDescent="0.3">
      <c r="A245">
        <v>23</v>
      </c>
      <c r="B245" t="s">
        <v>652</v>
      </c>
      <c r="C245" t="s">
        <v>653</v>
      </c>
      <c r="D245" t="s">
        <v>643</v>
      </c>
      <c r="E245" s="4">
        <v>247</v>
      </c>
    </row>
    <row r="246" spans="1:5" x14ac:dyDescent="0.3">
      <c r="A246">
        <v>23</v>
      </c>
      <c r="B246" t="s">
        <v>652</v>
      </c>
      <c r="C246" t="s">
        <v>653</v>
      </c>
      <c r="D246" t="s">
        <v>646</v>
      </c>
      <c r="E246" s="4">
        <v>49</v>
      </c>
    </row>
    <row r="247" spans="1:5" x14ac:dyDescent="0.3">
      <c r="A247">
        <v>24</v>
      </c>
      <c r="B247" t="s">
        <v>652</v>
      </c>
      <c r="C247" t="s">
        <v>653</v>
      </c>
      <c r="D247" t="s">
        <v>623</v>
      </c>
      <c r="E247" s="4">
        <v>49</v>
      </c>
    </row>
    <row r="248" spans="1:5" x14ac:dyDescent="0.3">
      <c r="A248">
        <v>24</v>
      </c>
      <c r="B248" t="s">
        <v>652</v>
      </c>
      <c r="C248" t="s">
        <v>653</v>
      </c>
      <c r="D248" t="s">
        <v>624</v>
      </c>
      <c r="E248" s="4">
        <v>149</v>
      </c>
    </row>
    <row r="249" spans="1:5" x14ac:dyDescent="0.3">
      <c r="A249">
        <v>24</v>
      </c>
      <c r="B249" t="s">
        <v>652</v>
      </c>
      <c r="C249" t="s">
        <v>653</v>
      </c>
      <c r="D249" t="s">
        <v>627</v>
      </c>
      <c r="E249" s="4">
        <v>299</v>
      </c>
    </row>
    <row r="250" spans="1:5" x14ac:dyDescent="0.3">
      <c r="A250">
        <v>24</v>
      </c>
      <c r="B250" t="s">
        <v>652</v>
      </c>
      <c r="C250" t="s">
        <v>653</v>
      </c>
      <c r="D250" t="s">
        <v>631</v>
      </c>
      <c r="E250" s="4">
        <v>799</v>
      </c>
    </row>
    <row r="251" spans="1:5" x14ac:dyDescent="0.3">
      <c r="A251">
        <v>24</v>
      </c>
      <c r="B251" t="s">
        <v>652</v>
      </c>
      <c r="C251" t="s">
        <v>653</v>
      </c>
      <c r="D251" t="s">
        <v>632</v>
      </c>
      <c r="E251" s="4">
        <v>149</v>
      </c>
    </row>
    <row r="252" spans="1:5" x14ac:dyDescent="0.3">
      <c r="A252">
        <v>24</v>
      </c>
      <c r="B252" t="s">
        <v>652</v>
      </c>
      <c r="C252" t="s">
        <v>653</v>
      </c>
      <c r="D252" t="s">
        <v>634</v>
      </c>
      <c r="E252" s="4">
        <v>499</v>
      </c>
    </row>
    <row r="253" spans="1:5" x14ac:dyDescent="0.3">
      <c r="A253">
        <v>24</v>
      </c>
      <c r="B253" t="s">
        <v>652</v>
      </c>
      <c r="C253" t="s">
        <v>653</v>
      </c>
      <c r="D253" t="s">
        <v>640</v>
      </c>
      <c r="E253" s="4">
        <v>299</v>
      </c>
    </row>
    <row r="254" spans="1:5" x14ac:dyDescent="0.3">
      <c r="A254">
        <v>24</v>
      </c>
      <c r="B254" t="s">
        <v>652</v>
      </c>
      <c r="C254" t="s">
        <v>653</v>
      </c>
      <c r="D254" t="s">
        <v>641</v>
      </c>
      <c r="E254" s="4">
        <v>799</v>
      </c>
    </row>
    <row r="255" spans="1:5" x14ac:dyDescent="0.3">
      <c r="A255">
        <v>24</v>
      </c>
      <c r="B255" t="s">
        <v>652</v>
      </c>
      <c r="C255" t="s">
        <v>653</v>
      </c>
      <c r="D255" t="s">
        <v>642</v>
      </c>
      <c r="E255" s="4">
        <v>49</v>
      </c>
    </row>
    <row r="256" spans="1:5" x14ac:dyDescent="0.3">
      <c r="A256">
        <v>24</v>
      </c>
      <c r="B256" t="s">
        <v>652</v>
      </c>
      <c r="C256" t="s">
        <v>653</v>
      </c>
      <c r="D256" t="s">
        <v>644</v>
      </c>
      <c r="E256" s="4">
        <v>148</v>
      </c>
    </row>
    <row r="257" spans="1:5" x14ac:dyDescent="0.3">
      <c r="A257">
        <v>24</v>
      </c>
      <c r="B257" t="s">
        <v>652</v>
      </c>
      <c r="C257" t="s">
        <v>653</v>
      </c>
      <c r="D257" t="s">
        <v>646</v>
      </c>
      <c r="E257" s="4">
        <v>348</v>
      </c>
    </row>
    <row r="258" spans="1:5" x14ac:dyDescent="0.3">
      <c r="A258">
        <v>25</v>
      </c>
      <c r="B258" t="s">
        <v>652</v>
      </c>
      <c r="C258" t="s">
        <v>653</v>
      </c>
      <c r="D258" t="s">
        <v>622</v>
      </c>
      <c r="E258" s="4">
        <v>99</v>
      </c>
    </row>
    <row r="259" spans="1:5" x14ac:dyDescent="0.3">
      <c r="A259">
        <v>25</v>
      </c>
      <c r="B259" t="s">
        <v>652</v>
      </c>
      <c r="C259" t="s">
        <v>653</v>
      </c>
      <c r="D259" t="s">
        <v>625</v>
      </c>
      <c r="E259" s="4">
        <v>4498</v>
      </c>
    </row>
    <row r="260" spans="1:5" x14ac:dyDescent="0.3">
      <c r="A260">
        <v>25</v>
      </c>
      <c r="B260" t="s">
        <v>652</v>
      </c>
      <c r="C260" t="s">
        <v>653</v>
      </c>
      <c r="D260" t="s">
        <v>626</v>
      </c>
      <c r="E260" s="4">
        <v>898</v>
      </c>
    </row>
    <row r="261" spans="1:5" x14ac:dyDescent="0.3">
      <c r="A261">
        <v>25</v>
      </c>
      <c r="B261" t="s">
        <v>652</v>
      </c>
      <c r="C261" t="s">
        <v>653</v>
      </c>
      <c r="D261" t="s">
        <v>631</v>
      </c>
      <c r="E261" s="4">
        <v>799</v>
      </c>
    </row>
    <row r="262" spans="1:5" x14ac:dyDescent="0.3">
      <c r="A262">
        <v>25</v>
      </c>
      <c r="B262" t="s">
        <v>652</v>
      </c>
      <c r="C262" t="s">
        <v>653</v>
      </c>
      <c r="D262" t="s">
        <v>633</v>
      </c>
      <c r="E262" s="4">
        <v>49</v>
      </c>
    </row>
    <row r="263" spans="1:5" x14ac:dyDescent="0.3">
      <c r="A263">
        <v>25</v>
      </c>
      <c r="B263" t="s">
        <v>652</v>
      </c>
      <c r="C263" t="s">
        <v>653</v>
      </c>
      <c r="D263" t="s">
        <v>635</v>
      </c>
      <c r="E263" s="4">
        <v>49</v>
      </c>
    </row>
    <row r="264" spans="1:5" x14ac:dyDescent="0.3">
      <c r="A264">
        <v>25</v>
      </c>
      <c r="B264" t="s">
        <v>652</v>
      </c>
      <c r="C264" t="s">
        <v>653</v>
      </c>
      <c r="D264" t="s">
        <v>636</v>
      </c>
      <c r="E264" s="4">
        <v>799</v>
      </c>
    </row>
    <row r="265" spans="1:5" x14ac:dyDescent="0.3">
      <c r="A265">
        <v>25</v>
      </c>
      <c r="B265" t="s">
        <v>652</v>
      </c>
      <c r="C265" t="s">
        <v>653</v>
      </c>
      <c r="D265" t="s">
        <v>639</v>
      </c>
      <c r="E265" s="4">
        <v>4498</v>
      </c>
    </row>
    <row r="266" spans="1:5" x14ac:dyDescent="0.3">
      <c r="A266">
        <v>25</v>
      </c>
      <c r="B266" t="s">
        <v>652</v>
      </c>
      <c r="C266" t="s">
        <v>653</v>
      </c>
      <c r="D266" t="s">
        <v>644</v>
      </c>
      <c r="E266" s="4">
        <v>497</v>
      </c>
    </row>
    <row r="267" spans="1:5" x14ac:dyDescent="0.3">
      <c r="A267">
        <v>25</v>
      </c>
      <c r="B267" t="s">
        <v>652</v>
      </c>
      <c r="C267" t="s">
        <v>653</v>
      </c>
      <c r="D267" t="s">
        <v>648</v>
      </c>
      <c r="E267" s="4">
        <v>299</v>
      </c>
    </row>
    <row r="268" spans="1:5" x14ac:dyDescent="0.3">
      <c r="A268">
        <v>25</v>
      </c>
      <c r="B268" t="s">
        <v>652</v>
      </c>
      <c r="C268" t="s">
        <v>653</v>
      </c>
      <c r="D268" t="s">
        <v>649</v>
      </c>
      <c r="E268" s="4">
        <v>3048</v>
      </c>
    </row>
    <row r="269" spans="1:5" x14ac:dyDescent="0.3">
      <c r="A269">
        <v>26</v>
      </c>
      <c r="B269" t="s">
        <v>652</v>
      </c>
      <c r="C269" t="s">
        <v>653</v>
      </c>
      <c r="D269" t="s">
        <v>622</v>
      </c>
      <c r="E269" s="4">
        <v>399</v>
      </c>
    </row>
    <row r="270" spans="1:5" x14ac:dyDescent="0.3">
      <c r="A270">
        <v>26</v>
      </c>
      <c r="B270" t="s">
        <v>652</v>
      </c>
      <c r="C270" t="s">
        <v>653</v>
      </c>
      <c r="D270" t="s">
        <v>623</v>
      </c>
      <c r="E270" s="4">
        <v>99</v>
      </c>
    </row>
    <row r="271" spans="1:5" x14ac:dyDescent="0.3">
      <c r="A271">
        <v>26</v>
      </c>
      <c r="B271" t="s">
        <v>652</v>
      </c>
      <c r="C271" t="s">
        <v>653</v>
      </c>
      <c r="D271" t="s">
        <v>626</v>
      </c>
      <c r="E271" s="4">
        <v>49</v>
      </c>
    </row>
    <row r="272" spans="1:5" x14ac:dyDescent="0.3">
      <c r="A272">
        <v>26</v>
      </c>
      <c r="B272" t="s">
        <v>652</v>
      </c>
      <c r="C272" t="s">
        <v>653</v>
      </c>
      <c r="D272" t="s">
        <v>630</v>
      </c>
      <c r="E272" s="4">
        <v>299</v>
      </c>
    </row>
    <row r="273" spans="1:5" x14ac:dyDescent="0.3">
      <c r="A273">
        <v>26</v>
      </c>
      <c r="B273" t="s">
        <v>652</v>
      </c>
      <c r="C273" t="s">
        <v>653</v>
      </c>
      <c r="D273" t="s">
        <v>632</v>
      </c>
      <c r="E273" s="4">
        <v>299</v>
      </c>
    </row>
    <row r="274" spans="1:5" x14ac:dyDescent="0.3">
      <c r="A274">
        <v>26</v>
      </c>
      <c r="B274" t="s">
        <v>652</v>
      </c>
      <c r="C274" t="s">
        <v>653</v>
      </c>
      <c r="D274" t="s">
        <v>634</v>
      </c>
      <c r="E274" s="4">
        <v>299</v>
      </c>
    </row>
    <row r="275" spans="1:5" x14ac:dyDescent="0.3">
      <c r="A275">
        <v>26</v>
      </c>
      <c r="B275" t="s">
        <v>652</v>
      </c>
      <c r="C275" t="s">
        <v>653</v>
      </c>
      <c r="D275" t="s">
        <v>642</v>
      </c>
      <c r="E275" s="4">
        <v>499</v>
      </c>
    </row>
    <row r="276" spans="1:5" x14ac:dyDescent="0.3">
      <c r="A276">
        <v>26</v>
      </c>
      <c r="B276" t="s">
        <v>652</v>
      </c>
      <c r="C276" t="s">
        <v>653</v>
      </c>
      <c r="D276" t="s">
        <v>643</v>
      </c>
      <c r="E276" s="4">
        <v>99</v>
      </c>
    </row>
    <row r="277" spans="1:5" x14ac:dyDescent="0.3">
      <c r="A277">
        <v>26</v>
      </c>
      <c r="B277" t="s">
        <v>652</v>
      </c>
      <c r="C277" t="s">
        <v>653</v>
      </c>
      <c r="D277" t="s">
        <v>648</v>
      </c>
      <c r="E277" s="4">
        <v>1499</v>
      </c>
    </row>
    <row r="278" spans="1:5" x14ac:dyDescent="0.3">
      <c r="A278">
        <v>26</v>
      </c>
      <c r="B278" t="s">
        <v>652</v>
      </c>
      <c r="C278" t="s">
        <v>653</v>
      </c>
      <c r="D278" t="s">
        <v>649</v>
      </c>
      <c r="E278" s="4">
        <v>148</v>
      </c>
    </row>
    <row r="279" spans="1:5" x14ac:dyDescent="0.3">
      <c r="A279">
        <v>26</v>
      </c>
      <c r="B279" t="s">
        <v>652</v>
      </c>
      <c r="C279" t="s">
        <v>653</v>
      </c>
      <c r="D279" t="s">
        <v>650</v>
      </c>
      <c r="E279" s="4">
        <v>1499</v>
      </c>
    </row>
    <row r="280" spans="1:5" x14ac:dyDescent="0.3">
      <c r="A280">
        <v>27</v>
      </c>
      <c r="B280" t="s">
        <v>652</v>
      </c>
      <c r="C280" t="s">
        <v>653</v>
      </c>
      <c r="D280" t="s">
        <v>621</v>
      </c>
      <c r="E280" s="4">
        <v>149</v>
      </c>
    </row>
    <row r="281" spans="1:5" x14ac:dyDescent="0.3">
      <c r="A281">
        <v>27</v>
      </c>
      <c r="B281" t="s">
        <v>652</v>
      </c>
      <c r="C281" t="s">
        <v>653</v>
      </c>
      <c r="D281" t="s">
        <v>624</v>
      </c>
      <c r="E281" s="4">
        <v>49</v>
      </c>
    </row>
    <row r="282" spans="1:5" x14ac:dyDescent="0.3">
      <c r="A282">
        <v>27</v>
      </c>
      <c r="B282" t="s">
        <v>652</v>
      </c>
      <c r="C282" t="s">
        <v>653</v>
      </c>
      <c r="D282" t="s">
        <v>630</v>
      </c>
      <c r="E282" s="4">
        <v>149</v>
      </c>
    </row>
    <row r="283" spans="1:5" x14ac:dyDescent="0.3">
      <c r="A283">
        <v>27</v>
      </c>
      <c r="B283" t="s">
        <v>652</v>
      </c>
      <c r="C283" t="s">
        <v>653</v>
      </c>
      <c r="D283" t="s">
        <v>632</v>
      </c>
      <c r="E283" s="4">
        <v>299</v>
      </c>
    </row>
    <row r="284" spans="1:5" x14ac:dyDescent="0.3">
      <c r="A284">
        <v>27</v>
      </c>
      <c r="B284" t="s">
        <v>652</v>
      </c>
      <c r="C284" t="s">
        <v>653</v>
      </c>
      <c r="D284" t="s">
        <v>634</v>
      </c>
      <c r="E284" s="4">
        <v>149</v>
      </c>
    </row>
    <row r="285" spans="1:5" x14ac:dyDescent="0.3">
      <c r="A285">
        <v>27</v>
      </c>
      <c r="B285" t="s">
        <v>652</v>
      </c>
      <c r="C285" t="s">
        <v>653</v>
      </c>
      <c r="D285" t="s">
        <v>635</v>
      </c>
      <c r="E285" s="4">
        <v>1499</v>
      </c>
    </row>
    <row r="286" spans="1:5" x14ac:dyDescent="0.3">
      <c r="A286">
        <v>27</v>
      </c>
      <c r="B286" t="s">
        <v>652</v>
      </c>
      <c r="C286" t="s">
        <v>653</v>
      </c>
      <c r="D286" t="s">
        <v>637</v>
      </c>
      <c r="E286" s="4">
        <v>1597</v>
      </c>
    </row>
    <row r="287" spans="1:5" x14ac:dyDescent="0.3">
      <c r="A287">
        <v>27</v>
      </c>
      <c r="B287" t="s">
        <v>652</v>
      </c>
      <c r="C287" t="s">
        <v>653</v>
      </c>
      <c r="D287" t="s">
        <v>639</v>
      </c>
      <c r="E287" s="4">
        <v>49</v>
      </c>
    </row>
    <row r="288" spans="1:5" x14ac:dyDescent="0.3">
      <c r="A288">
        <v>27</v>
      </c>
      <c r="B288" t="s">
        <v>652</v>
      </c>
      <c r="C288" t="s">
        <v>653</v>
      </c>
      <c r="D288" t="s">
        <v>640</v>
      </c>
      <c r="E288" s="4">
        <v>4999</v>
      </c>
    </row>
    <row r="289" spans="1:5" x14ac:dyDescent="0.3">
      <c r="A289">
        <v>27</v>
      </c>
      <c r="B289" t="s">
        <v>652</v>
      </c>
      <c r="C289" t="s">
        <v>653</v>
      </c>
      <c r="D289" t="s">
        <v>641</v>
      </c>
      <c r="E289" s="4">
        <v>499</v>
      </c>
    </row>
    <row r="290" spans="1:5" x14ac:dyDescent="0.3">
      <c r="A290">
        <v>27</v>
      </c>
      <c r="B290" t="s">
        <v>652</v>
      </c>
      <c r="C290" t="s">
        <v>653</v>
      </c>
      <c r="D290" t="s">
        <v>642</v>
      </c>
      <c r="E290" s="4">
        <v>49</v>
      </c>
    </row>
    <row r="291" spans="1:5" x14ac:dyDescent="0.3">
      <c r="A291">
        <v>27</v>
      </c>
      <c r="B291" t="s">
        <v>652</v>
      </c>
      <c r="C291" t="s">
        <v>653</v>
      </c>
      <c r="D291" t="s">
        <v>643</v>
      </c>
      <c r="E291" s="4">
        <v>3998</v>
      </c>
    </row>
    <row r="292" spans="1:5" x14ac:dyDescent="0.3">
      <c r="A292">
        <v>27</v>
      </c>
      <c r="B292" t="s">
        <v>652</v>
      </c>
      <c r="C292" t="s">
        <v>653</v>
      </c>
      <c r="D292" t="s">
        <v>644</v>
      </c>
      <c r="E292" s="4">
        <v>99</v>
      </c>
    </row>
    <row r="293" spans="1:5" x14ac:dyDescent="0.3">
      <c r="A293">
        <v>28</v>
      </c>
      <c r="B293" t="s">
        <v>652</v>
      </c>
      <c r="C293" t="s">
        <v>653</v>
      </c>
      <c r="D293" t="s">
        <v>628</v>
      </c>
      <c r="E293" s="4">
        <v>49</v>
      </c>
    </row>
    <row r="294" spans="1:5" x14ac:dyDescent="0.3">
      <c r="A294">
        <v>28</v>
      </c>
      <c r="B294" t="s">
        <v>652</v>
      </c>
      <c r="C294" t="s">
        <v>653</v>
      </c>
      <c r="D294" t="s">
        <v>629</v>
      </c>
      <c r="E294" s="4">
        <v>2999</v>
      </c>
    </row>
    <row r="295" spans="1:5" x14ac:dyDescent="0.3">
      <c r="A295">
        <v>28</v>
      </c>
      <c r="B295" t="s">
        <v>652</v>
      </c>
      <c r="C295" t="s">
        <v>653</v>
      </c>
      <c r="D295" t="s">
        <v>630</v>
      </c>
      <c r="E295" s="4">
        <v>499</v>
      </c>
    </row>
    <row r="296" spans="1:5" x14ac:dyDescent="0.3">
      <c r="A296">
        <v>28</v>
      </c>
      <c r="B296" t="s">
        <v>652</v>
      </c>
      <c r="C296" t="s">
        <v>653</v>
      </c>
      <c r="D296" t="s">
        <v>631</v>
      </c>
      <c r="E296" s="4">
        <v>49</v>
      </c>
    </row>
    <row r="297" spans="1:5" x14ac:dyDescent="0.3">
      <c r="A297">
        <v>28</v>
      </c>
      <c r="B297" t="s">
        <v>652</v>
      </c>
      <c r="C297" t="s">
        <v>653</v>
      </c>
      <c r="D297" t="s">
        <v>634</v>
      </c>
      <c r="E297" s="4">
        <v>49</v>
      </c>
    </row>
    <row r="298" spans="1:5" x14ac:dyDescent="0.3">
      <c r="A298">
        <v>28</v>
      </c>
      <c r="B298" t="s">
        <v>652</v>
      </c>
      <c r="C298" t="s">
        <v>653</v>
      </c>
      <c r="D298" t="s">
        <v>635</v>
      </c>
      <c r="E298" s="4">
        <v>2999</v>
      </c>
    </row>
    <row r="299" spans="1:5" x14ac:dyDescent="0.3">
      <c r="A299">
        <v>28</v>
      </c>
      <c r="B299" t="s">
        <v>652</v>
      </c>
      <c r="C299" t="s">
        <v>653</v>
      </c>
      <c r="D299" t="s">
        <v>636</v>
      </c>
      <c r="E299" s="4">
        <v>299</v>
      </c>
    </row>
    <row r="300" spans="1:5" x14ac:dyDescent="0.3">
      <c r="A300">
        <v>28</v>
      </c>
      <c r="B300" t="s">
        <v>652</v>
      </c>
      <c r="C300" t="s">
        <v>653</v>
      </c>
      <c r="D300" t="s">
        <v>641</v>
      </c>
      <c r="E300" s="4">
        <v>1999</v>
      </c>
    </row>
    <row r="301" spans="1:5" x14ac:dyDescent="0.3">
      <c r="A301">
        <v>28</v>
      </c>
      <c r="B301" t="s">
        <v>652</v>
      </c>
      <c r="C301" t="s">
        <v>653</v>
      </c>
      <c r="D301" t="s">
        <v>642</v>
      </c>
      <c r="E301" s="4">
        <v>99</v>
      </c>
    </row>
    <row r="302" spans="1:5" x14ac:dyDescent="0.3">
      <c r="A302">
        <v>28</v>
      </c>
      <c r="B302" t="s">
        <v>652</v>
      </c>
      <c r="C302" t="s">
        <v>653</v>
      </c>
      <c r="D302" t="s">
        <v>650</v>
      </c>
      <c r="E302" s="4">
        <v>499</v>
      </c>
    </row>
    <row r="303" spans="1:5" x14ac:dyDescent="0.3">
      <c r="A303">
        <v>29</v>
      </c>
      <c r="B303" t="s">
        <v>652</v>
      </c>
      <c r="C303" t="s">
        <v>653</v>
      </c>
      <c r="D303" t="s">
        <v>624</v>
      </c>
      <c r="E303" s="4">
        <v>99</v>
      </c>
    </row>
    <row r="304" spans="1:5" x14ac:dyDescent="0.3">
      <c r="A304">
        <v>29</v>
      </c>
      <c r="B304" t="s">
        <v>652</v>
      </c>
      <c r="C304" t="s">
        <v>653</v>
      </c>
      <c r="D304" t="s">
        <v>625</v>
      </c>
      <c r="E304" s="4">
        <v>799</v>
      </c>
    </row>
    <row r="305" spans="1:5" x14ac:dyDescent="0.3">
      <c r="A305">
        <v>29</v>
      </c>
      <c r="B305" t="s">
        <v>652</v>
      </c>
      <c r="C305" t="s">
        <v>653</v>
      </c>
      <c r="D305" t="s">
        <v>628</v>
      </c>
      <c r="E305" s="4">
        <v>2999</v>
      </c>
    </row>
    <row r="306" spans="1:5" x14ac:dyDescent="0.3">
      <c r="A306">
        <v>29</v>
      </c>
      <c r="B306" t="s">
        <v>652</v>
      </c>
      <c r="C306" t="s">
        <v>653</v>
      </c>
      <c r="D306" t="s">
        <v>629</v>
      </c>
      <c r="E306" s="4">
        <v>499</v>
      </c>
    </row>
    <row r="307" spans="1:5" x14ac:dyDescent="0.3">
      <c r="A307">
        <v>29</v>
      </c>
      <c r="B307" t="s">
        <v>652</v>
      </c>
      <c r="C307" t="s">
        <v>653</v>
      </c>
      <c r="D307" t="s">
        <v>632</v>
      </c>
      <c r="E307" s="4">
        <v>399</v>
      </c>
    </row>
    <row r="308" spans="1:5" x14ac:dyDescent="0.3">
      <c r="A308">
        <v>29</v>
      </c>
      <c r="B308" t="s">
        <v>652</v>
      </c>
      <c r="C308" t="s">
        <v>653</v>
      </c>
      <c r="D308" t="s">
        <v>634</v>
      </c>
      <c r="E308" s="4">
        <v>1998</v>
      </c>
    </row>
    <row r="309" spans="1:5" x14ac:dyDescent="0.3">
      <c r="A309">
        <v>29</v>
      </c>
      <c r="B309" t="s">
        <v>652</v>
      </c>
      <c r="C309" t="s">
        <v>653</v>
      </c>
      <c r="D309" t="s">
        <v>635</v>
      </c>
      <c r="E309" s="4">
        <v>1098</v>
      </c>
    </row>
    <row r="310" spans="1:5" x14ac:dyDescent="0.3">
      <c r="A310">
        <v>29</v>
      </c>
      <c r="B310" t="s">
        <v>652</v>
      </c>
      <c r="C310" t="s">
        <v>653</v>
      </c>
      <c r="D310" t="s">
        <v>637</v>
      </c>
      <c r="E310" s="4">
        <v>49</v>
      </c>
    </row>
    <row r="311" spans="1:5" x14ac:dyDescent="0.3">
      <c r="A311">
        <v>29</v>
      </c>
      <c r="B311" t="s">
        <v>652</v>
      </c>
      <c r="C311" t="s">
        <v>653</v>
      </c>
      <c r="D311" t="s">
        <v>639</v>
      </c>
      <c r="E311" s="4">
        <v>49</v>
      </c>
    </row>
    <row r="312" spans="1:5" x14ac:dyDescent="0.3">
      <c r="A312">
        <v>29</v>
      </c>
      <c r="B312" t="s">
        <v>652</v>
      </c>
      <c r="C312" t="s">
        <v>653</v>
      </c>
      <c r="D312" t="s">
        <v>640</v>
      </c>
      <c r="E312" s="4">
        <v>149</v>
      </c>
    </row>
    <row r="313" spans="1:5" x14ac:dyDescent="0.3">
      <c r="A313">
        <v>29</v>
      </c>
      <c r="B313" t="s">
        <v>652</v>
      </c>
      <c r="C313" t="s">
        <v>653</v>
      </c>
      <c r="D313" t="s">
        <v>645</v>
      </c>
      <c r="E313" s="4">
        <v>3896</v>
      </c>
    </row>
    <row r="314" spans="1:5" x14ac:dyDescent="0.3">
      <c r="A314">
        <v>29</v>
      </c>
      <c r="B314" t="s">
        <v>652</v>
      </c>
      <c r="C314" t="s">
        <v>653</v>
      </c>
      <c r="D314" t="s">
        <v>647</v>
      </c>
      <c r="E314" s="4">
        <v>898</v>
      </c>
    </row>
    <row r="315" spans="1:5" x14ac:dyDescent="0.3">
      <c r="A315">
        <v>29</v>
      </c>
      <c r="B315" t="s">
        <v>652</v>
      </c>
      <c r="C315" t="s">
        <v>653</v>
      </c>
      <c r="D315" t="s">
        <v>648</v>
      </c>
      <c r="E315" s="4">
        <v>149</v>
      </c>
    </row>
    <row r="316" spans="1:5" x14ac:dyDescent="0.3">
      <c r="A316">
        <v>30</v>
      </c>
      <c r="B316" t="s">
        <v>652</v>
      </c>
      <c r="C316" t="s">
        <v>653</v>
      </c>
      <c r="D316" t="s">
        <v>623</v>
      </c>
      <c r="E316" s="4">
        <v>149</v>
      </c>
    </row>
    <row r="317" spans="1:5" x14ac:dyDescent="0.3">
      <c r="A317">
        <v>30</v>
      </c>
      <c r="B317" t="s">
        <v>652</v>
      </c>
      <c r="C317" t="s">
        <v>653</v>
      </c>
      <c r="D317" t="s">
        <v>628</v>
      </c>
      <c r="E317" s="4">
        <v>1197</v>
      </c>
    </row>
    <row r="318" spans="1:5" x14ac:dyDescent="0.3">
      <c r="A318">
        <v>30</v>
      </c>
      <c r="B318" t="s">
        <v>652</v>
      </c>
      <c r="C318" t="s">
        <v>653</v>
      </c>
      <c r="D318" t="s">
        <v>629</v>
      </c>
      <c r="E318" s="4">
        <v>99</v>
      </c>
    </row>
    <row r="319" spans="1:5" x14ac:dyDescent="0.3">
      <c r="A319">
        <v>30</v>
      </c>
      <c r="B319" t="s">
        <v>652</v>
      </c>
      <c r="C319" t="s">
        <v>653</v>
      </c>
      <c r="D319" t="s">
        <v>632</v>
      </c>
      <c r="E319" s="4">
        <v>499</v>
      </c>
    </row>
    <row r="320" spans="1:5" x14ac:dyDescent="0.3">
      <c r="A320">
        <v>30</v>
      </c>
      <c r="B320" t="s">
        <v>652</v>
      </c>
      <c r="C320" t="s">
        <v>653</v>
      </c>
      <c r="D320" t="s">
        <v>633</v>
      </c>
      <c r="E320" s="4">
        <v>1499</v>
      </c>
    </row>
    <row r="321" spans="1:5" x14ac:dyDescent="0.3">
      <c r="A321">
        <v>30</v>
      </c>
      <c r="B321" t="s">
        <v>652</v>
      </c>
      <c r="C321" t="s">
        <v>653</v>
      </c>
      <c r="D321" t="s">
        <v>634</v>
      </c>
      <c r="E321" s="4">
        <v>2497</v>
      </c>
    </row>
    <row r="322" spans="1:5" x14ac:dyDescent="0.3">
      <c r="A322">
        <v>30</v>
      </c>
      <c r="B322" t="s">
        <v>652</v>
      </c>
      <c r="C322" t="s">
        <v>653</v>
      </c>
      <c r="D322" t="s">
        <v>635</v>
      </c>
      <c r="E322" s="4">
        <v>49</v>
      </c>
    </row>
    <row r="323" spans="1:5" x14ac:dyDescent="0.3">
      <c r="A323">
        <v>30</v>
      </c>
      <c r="B323" t="s">
        <v>652</v>
      </c>
      <c r="C323" t="s">
        <v>653</v>
      </c>
      <c r="D323" t="s">
        <v>637</v>
      </c>
      <c r="E323" s="4">
        <v>49</v>
      </c>
    </row>
    <row r="324" spans="1:5" x14ac:dyDescent="0.3">
      <c r="A324">
        <v>30</v>
      </c>
      <c r="B324" t="s">
        <v>652</v>
      </c>
      <c r="C324" t="s">
        <v>653</v>
      </c>
      <c r="D324" t="s">
        <v>638</v>
      </c>
      <c r="E324" s="4">
        <v>799</v>
      </c>
    </row>
    <row r="325" spans="1:5" x14ac:dyDescent="0.3">
      <c r="A325">
        <v>30</v>
      </c>
      <c r="B325" t="s">
        <v>652</v>
      </c>
      <c r="C325" t="s">
        <v>653</v>
      </c>
      <c r="D325" t="s">
        <v>646</v>
      </c>
      <c r="E325" s="4">
        <v>799</v>
      </c>
    </row>
    <row r="326" spans="1:5" x14ac:dyDescent="0.3">
      <c r="A326">
        <v>30</v>
      </c>
      <c r="B326" t="s">
        <v>652</v>
      </c>
      <c r="C326" t="s">
        <v>653</v>
      </c>
      <c r="D326" t="s">
        <v>648</v>
      </c>
      <c r="E326" s="4">
        <v>49</v>
      </c>
    </row>
    <row r="327" spans="1:5" x14ac:dyDescent="0.3">
      <c r="A327">
        <v>30</v>
      </c>
      <c r="B327" t="s">
        <v>652</v>
      </c>
      <c r="C327" t="s">
        <v>653</v>
      </c>
      <c r="D327" t="s">
        <v>649</v>
      </c>
      <c r="E327" s="4">
        <v>149</v>
      </c>
    </row>
    <row r="328" spans="1:5" x14ac:dyDescent="0.3">
      <c r="A328">
        <v>30</v>
      </c>
      <c r="B328" t="s">
        <v>652</v>
      </c>
      <c r="C328" t="s">
        <v>653</v>
      </c>
      <c r="D328" t="s">
        <v>650</v>
      </c>
      <c r="E328" s="4">
        <v>49</v>
      </c>
    </row>
    <row r="329" spans="1:5" x14ac:dyDescent="0.3">
      <c r="A329">
        <v>31</v>
      </c>
      <c r="B329" t="s">
        <v>652</v>
      </c>
      <c r="C329" t="s">
        <v>653</v>
      </c>
      <c r="D329" t="s">
        <v>625</v>
      </c>
      <c r="E329" s="4">
        <v>49</v>
      </c>
    </row>
    <row r="330" spans="1:5" x14ac:dyDescent="0.3">
      <c r="A330">
        <v>31</v>
      </c>
      <c r="B330" t="s">
        <v>652</v>
      </c>
      <c r="C330" t="s">
        <v>653</v>
      </c>
      <c r="D330" t="s">
        <v>627</v>
      </c>
      <c r="E330" s="4">
        <v>49</v>
      </c>
    </row>
    <row r="331" spans="1:5" x14ac:dyDescent="0.3">
      <c r="A331">
        <v>31</v>
      </c>
      <c r="B331" t="s">
        <v>652</v>
      </c>
      <c r="C331" t="s">
        <v>653</v>
      </c>
      <c r="D331" t="s">
        <v>629</v>
      </c>
      <c r="E331" s="4">
        <v>1499</v>
      </c>
    </row>
    <row r="332" spans="1:5" x14ac:dyDescent="0.3">
      <c r="A332">
        <v>31</v>
      </c>
      <c r="B332" t="s">
        <v>652</v>
      </c>
      <c r="C332" t="s">
        <v>653</v>
      </c>
      <c r="D332" t="s">
        <v>630</v>
      </c>
      <c r="E332" s="4">
        <v>499</v>
      </c>
    </row>
    <row r="333" spans="1:5" x14ac:dyDescent="0.3">
      <c r="A333">
        <v>31</v>
      </c>
      <c r="B333" t="s">
        <v>652</v>
      </c>
      <c r="C333" t="s">
        <v>653</v>
      </c>
      <c r="D333" t="s">
        <v>632</v>
      </c>
      <c r="E333" s="4">
        <v>598</v>
      </c>
    </row>
    <row r="334" spans="1:5" x14ac:dyDescent="0.3">
      <c r="A334">
        <v>31</v>
      </c>
      <c r="B334" t="s">
        <v>652</v>
      </c>
      <c r="C334" t="s">
        <v>653</v>
      </c>
      <c r="D334" t="s">
        <v>633</v>
      </c>
      <c r="E334" s="4">
        <v>299</v>
      </c>
    </row>
    <row r="335" spans="1:5" x14ac:dyDescent="0.3">
      <c r="A335">
        <v>31</v>
      </c>
      <c r="B335" t="s">
        <v>652</v>
      </c>
      <c r="C335" t="s">
        <v>653</v>
      </c>
      <c r="D335" t="s">
        <v>634</v>
      </c>
      <c r="E335" s="4">
        <v>499</v>
      </c>
    </row>
    <row r="336" spans="1:5" x14ac:dyDescent="0.3">
      <c r="A336">
        <v>31</v>
      </c>
      <c r="B336" t="s">
        <v>652</v>
      </c>
      <c r="C336" t="s">
        <v>653</v>
      </c>
      <c r="D336" t="s">
        <v>635</v>
      </c>
      <c r="E336" s="4">
        <v>299</v>
      </c>
    </row>
    <row r="337" spans="1:5" x14ac:dyDescent="0.3">
      <c r="A337">
        <v>31</v>
      </c>
      <c r="B337" t="s">
        <v>652</v>
      </c>
      <c r="C337" t="s">
        <v>653</v>
      </c>
      <c r="D337" t="s">
        <v>636</v>
      </c>
      <c r="E337" s="4">
        <v>499</v>
      </c>
    </row>
    <row r="338" spans="1:5" x14ac:dyDescent="0.3">
      <c r="A338">
        <v>31</v>
      </c>
      <c r="B338" t="s">
        <v>652</v>
      </c>
      <c r="C338" t="s">
        <v>653</v>
      </c>
      <c r="D338" t="s">
        <v>638</v>
      </c>
      <c r="E338" s="4">
        <v>49</v>
      </c>
    </row>
    <row r="339" spans="1:5" x14ac:dyDescent="0.3">
      <c r="A339">
        <v>31</v>
      </c>
      <c r="B339" t="s">
        <v>652</v>
      </c>
      <c r="C339" t="s">
        <v>653</v>
      </c>
      <c r="D339" t="s">
        <v>641</v>
      </c>
      <c r="E339" s="4">
        <v>49</v>
      </c>
    </row>
    <row r="340" spans="1:5" x14ac:dyDescent="0.3">
      <c r="A340">
        <v>31</v>
      </c>
      <c r="B340" t="s">
        <v>652</v>
      </c>
      <c r="C340" t="s">
        <v>653</v>
      </c>
      <c r="D340" t="s">
        <v>642</v>
      </c>
      <c r="E340" s="4">
        <v>99</v>
      </c>
    </row>
    <row r="341" spans="1:5" x14ac:dyDescent="0.3">
      <c r="A341">
        <v>31</v>
      </c>
      <c r="B341" t="s">
        <v>652</v>
      </c>
      <c r="C341" t="s">
        <v>653</v>
      </c>
      <c r="D341" t="s">
        <v>648</v>
      </c>
      <c r="E341" s="4">
        <v>299</v>
      </c>
    </row>
    <row r="342" spans="1:5" x14ac:dyDescent="0.3">
      <c r="A342">
        <v>31</v>
      </c>
      <c r="B342" t="s">
        <v>652</v>
      </c>
      <c r="C342" t="s">
        <v>653</v>
      </c>
      <c r="D342" t="s">
        <v>649</v>
      </c>
      <c r="E342" s="4">
        <v>49</v>
      </c>
    </row>
    <row r="343" spans="1:5" x14ac:dyDescent="0.3">
      <c r="A343">
        <v>32</v>
      </c>
      <c r="B343" t="s">
        <v>652</v>
      </c>
      <c r="C343" t="s">
        <v>653</v>
      </c>
      <c r="D343" t="s">
        <v>623</v>
      </c>
      <c r="E343" s="4">
        <v>149</v>
      </c>
    </row>
    <row r="344" spans="1:5" x14ac:dyDescent="0.3">
      <c r="A344">
        <v>32</v>
      </c>
      <c r="B344" t="s">
        <v>652</v>
      </c>
      <c r="C344" t="s">
        <v>653</v>
      </c>
      <c r="D344" t="s">
        <v>624</v>
      </c>
      <c r="E344" s="4">
        <v>49</v>
      </c>
    </row>
    <row r="345" spans="1:5" x14ac:dyDescent="0.3">
      <c r="A345">
        <v>32</v>
      </c>
      <c r="B345" t="s">
        <v>652</v>
      </c>
      <c r="C345" t="s">
        <v>653</v>
      </c>
      <c r="D345" t="s">
        <v>626</v>
      </c>
      <c r="E345" s="4">
        <v>149</v>
      </c>
    </row>
    <row r="346" spans="1:5" x14ac:dyDescent="0.3">
      <c r="A346">
        <v>32</v>
      </c>
      <c r="B346" t="s">
        <v>652</v>
      </c>
      <c r="C346" t="s">
        <v>653</v>
      </c>
      <c r="D346" t="s">
        <v>629</v>
      </c>
      <c r="E346" s="4">
        <v>499</v>
      </c>
    </row>
    <row r="347" spans="1:5" x14ac:dyDescent="0.3">
      <c r="A347">
        <v>32</v>
      </c>
      <c r="B347" t="s">
        <v>652</v>
      </c>
      <c r="C347" t="s">
        <v>653</v>
      </c>
      <c r="D347" t="s">
        <v>633</v>
      </c>
      <c r="E347" s="4">
        <v>1999</v>
      </c>
    </row>
    <row r="348" spans="1:5" x14ac:dyDescent="0.3">
      <c r="A348">
        <v>32</v>
      </c>
      <c r="B348" t="s">
        <v>652</v>
      </c>
      <c r="C348" t="s">
        <v>653</v>
      </c>
      <c r="D348" t="s">
        <v>635</v>
      </c>
      <c r="E348" s="4">
        <v>148</v>
      </c>
    </row>
    <row r="349" spans="1:5" x14ac:dyDescent="0.3">
      <c r="A349">
        <v>32</v>
      </c>
      <c r="B349" t="s">
        <v>652</v>
      </c>
      <c r="C349" t="s">
        <v>653</v>
      </c>
      <c r="D349" t="s">
        <v>638</v>
      </c>
      <c r="E349" s="4">
        <v>149</v>
      </c>
    </row>
    <row r="350" spans="1:5" x14ac:dyDescent="0.3">
      <c r="A350">
        <v>32</v>
      </c>
      <c r="B350" t="s">
        <v>652</v>
      </c>
      <c r="C350" t="s">
        <v>653</v>
      </c>
      <c r="D350" t="s">
        <v>641</v>
      </c>
      <c r="E350" s="4">
        <v>348</v>
      </c>
    </row>
    <row r="351" spans="1:5" x14ac:dyDescent="0.3">
      <c r="A351">
        <v>32</v>
      </c>
      <c r="B351" t="s">
        <v>652</v>
      </c>
      <c r="C351" t="s">
        <v>653</v>
      </c>
      <c r="D351" t="s">
        <v>644</v>
      </c>
      <c r="E351" s="4">
        <v>49</v>
      </c>
    </row>
    <row r="352" spans="1:5" x14ac:dyDescent="0.3">
      <c r="A352">
        <v>32</v>
      </c>
      <c r="B352" t="s">
        <v>652</v>
      </c>
      <c r="C352" t="s">
        <v>653</v>
      </c>
      <c r="D352" t="s">
        <v>645</v>
      </c>
      <c r="E352" s="4">
        <v>49</v>
      </c>
    </row>
    <row r="353" spans="1:5" x14ac:dyDescent="0.3">
      <c r="A353">
        <v>32</v>
      </c>
      <c r="B353" t="s">
        <v>652</v>
      </c>
      <c r="C353" t="s">
        <v>653</v>
      </c>
      <c r="D353" t="s">
        <v>647</v>
      </c>
      <c r="E353" s="4">
        <v>1499</v>
      </c>
    </row>
    <row r="354" spans="1:5" x14ac:dyDescent="0.3">
      <c r="A354">
        <v>32</v>
      </c>
      <c r="B354" t="s">
        <v>652</v>
      </c>
      <c r="C354" t="s">
        <v>653</v>
      </c>
      <c r="D354" t="s">
        <v>648</v>
      </c>
      <c r="E354" s="4">
        <v>2999</v>
      </c>
    </row>
    <row r="355" spans="1:5" x14ac:dyDescent="0.3">
      <c r="A355">
        <v>33</v>
      </c>
      <c r="B355" t="s">
        <v>652</v>
      </c>
      <c r="C355" t="s">
        <v>653</v>
      </c>
      <c r="D355" t="s">
        <v>623</v>
      </c>
      <c r="E355" s="4">
        <v>149</v>
      </c>
    </row>
    <row r="356" spans="1:5" x14ac:dyDescent="0.3">
      <c r="A356">
        <v>33</v>
      </c>
      <c r="B356" t="s">
        <v>652</v>
      </c>
      <c r="C356" t="s">
        <v>653</v>
      </c>
      <c r="D356" t="s">
        <v>624</v>
      </c>
      <c r="E356" s="4">
        <v>4999</v>
      </c>
    </row>
    <row r="357" spans="1:5" x14ac:dyDescent="0.3">
      <c r="A357">
        <v>33</v>
      </c>
      <c r="B357" t="s">
        <v>652</v>
      </c>
      <c r="C357" t="s">
        <v>653</v>
      </c>
      <c r="D357" t="s">
        <v>632</v>
      </c>
      <c r="E357" s="4">
        <v>299</v>
      </c>
    </row>
    <row r="358" spans="1:5" x14ac:dyDescent="0.3">
      <c r="A358">
        <v>33</v>
      </c>
      <c r="B358" t="s">
        <v>652</v>
      </c>
      <c r="C358" t="s">
        <v>653</v>
      </c>
      <c r="D358" t="s">
        <v>635</v>
      </c>
      <c r="E358" s="4">
        <v>799</v>
      </c>
    </row>
    <row r="359" spans="1:5" x14ac:dyDescent="0.3">
      <c r="A359">
        <v>33</v>
      </c>
      <c r="B359" t="s">
        <v>652</v>
      </c>
      <c r="C359" t="s">
        <v>653</v>
      </c>
      <c r="D359" t="s">
        <v>640</v>
      </c>
      <c r="E359" s="4">
        <v>499</v>
      </c>
    </row>
    <row r="360" spans="1:5" x14ac:dyDescent="0.3">
      <c r="A360">
        <v>33</v>
      </c>
      <c r="B360" t="s">
        <v>652</v>
      </c>
      <c r="C360" t="s">
        <v>653</v>
      </c>
      <c r="D360" t="s">
        <v>641</v>
      </c>
      <c r="E360" s="4">
        <v>3298</v>
      </c>
    </row>
    <row r="361" spans="1:5" x14ac:dyDescent="0.3">
      <c r="A361">
        <v>33</v>
      </c>
      <c r="B361" t="s">
        <v>652</v>
      </c>
      <c r="C361" t="s">
        <v>653</v>
      </c>
      <c r="D361" t="s">
        <v>642</v>
      </c>
      <c r="E361" s="4">
        <v>99</v>
      </c>
    </row>
    <row r="362" spans="1:5" x14ac:dyDescent="0.3">
      <c r="A362">
        <v>33</v>
      </c>
      <c r="B362" t="s">
        <v>652</v>
      </c>
      <c r="C362" t="s">
        <v>653</v>
      </c>
      <c r="D362" t="s">
        <v>643</v>
      </c>
      <c r="E362" s="4">
        <v>49</v>
      </c>
    </row>
    <row r="363" spans="1:5" x14ac:dyDescent="0.3">
      <c r="A363">
        <v>33</v>
      </c>
      <c r="B363" t="s">
        <v>652</v>
      </c>
      <c r="C363" t="s">
        <v>653</v>
      </c>
      <c r="D363" t="s">
        <v>644</v>
      </c>
      <c r="E363" s="4">
        <v>49</v>
      </c>
    </row>
    <row r="364" spans="1:5" x14ac:dyDescent="0.3">
      <c r="A364">
        <v>33</v>
      </c>
      <c r="B364" t="s">
        <v>652</v>
      </c>
      <c r="C364" t="s">
        <v>653</v>
      </c>
      <c r="D364" t="s">
        <v>645</v>
      </c>
      <c r="E364" s="4">
        <v>99</v>
      </c>
    </row>
    <row r="365" spans="1:5" x14ac:dyDescent="0.3">
      <c r="A365">
        <v>34</v>
      </c>
      <c r="B365" t="s">
        <v>652</v>
      </c>
      <c r="C365" t="s">
        <v>653</v>
      </c>
      <c r="D365" t="s">
        <v>622</v>
      </c>
      <c r="E365" s="4">
        <v>548</v>
      </c>
    </row>
    <row r="366" spans="1:5" x14ac:dyDescent="0.3">
      <c r="A366">
        <v>34</v>
      </c>
      <c r="B366" t="s">
        <v>652</v>
      </c>
      <c r="C366" t="s">
        <v>653</v>
      </c>
      <c r="D366" t="s">
        <v>625</v>
      </c>
      <c r="E366" s="4">
        <v>2999</v>
      </c>
    </row>
    <row r="367" spans="1:5" x14ac:dyDescent="0.3">
      <c r="A367">
        <v>34</v>
      </c>
      <c r="B367" t="s">
        <v>652</v>
      </c>
      <c r="C367" t="s">
        <v>653</v>
      </c>
      <c r="D367" t="s">
        <v>629</v>
      </c>
      <c r="E367" s="4">
        <v>299</v>
      </c>
    </row>
    <row r="368" spans="1:5" x14ac:dyDescent="0.3">
      <c r="A368">
        <v>34</v>
      </c>
      <c r="B368" t="s">
        <v>652</v>
      </c>
      <c r="C368" t="s">
        <v>653</v>
      </c>
      <c r="D368" t="s">
        <v>630</v>
      </c>
      <c r="E368" s="4">
        <v>49</v>
      </c>
    </row>
    <row r="369" spans="1:5" x14ac:dyDescent="0.3">
      <c r="A369">
        <v>34</v>
      </c>
      <c r="B369" t="s">
        <v>652</v>
      </c>
      <c r="C369" t="s">
        <v>653</v>
      </c>
      <c r="D369" t="s">
        <v>632</v>
      </c>
      <c r="E369" s="4">
        <v>399</v>
      </c>
    </row>
    <row r="370" spans="1:5" x14ac:dyDescent="0.3">
      <c r="A370">
        <v>34</v>
      </c>
      <c r="B370" t="s">
        <v>652</v>
      </c>
      <c r="C370" t="s">
        <v>653</v>
      </c>
      <c r="D370" t="s">
        <v>637</v>
      </c>
      <c r="E370" s="4">
        <v>299</v>
      </c>
    </row>
    <row r="371" spans="1:5" x14ac:dyDescent="0.3">
      <c r="A371">
        <v>34</v>
      </c>
      <c r="B371" t="s">
        <v>652</v>
      </c>
      <c r="C371" t="s">
        <v>653</v>
      </c>
      <c r="D371" t="s">
        <v>638</v>
      </c>
      <c r="E371" s="4">
        <v>148</v>
      </c>
    </row>
    <row r="372" spans="1:5" x14ac:dyDescent="0.3">
      <c r="A372">
        <v>34</v>
      </c>
      <c r="B372" t="s">
        <v>652</v>
      </c>
      <c r="C372" t="s">
        <v>653</v>
      </c>
      <c r="D372" t="s">
        <v>639</v>
      </c>
      <c r="E372" s="4">
        <v>499</v>
      </c>
    </row>
    <row r="373" spans="1:5" x14ac:dyDescent="0.3">
      <c r="A373">
        <v>34</v>
      </c>
      <c r="B373" t="s">
        <v>652</v>
      </c>
      <c r="C373" t="s">
        <v>653</v>
      </c>
      <c r="D373" t="s">
        <v>641</v>
      </c>
      <c r="E373" s="4">
        <v>799</v>
      </c>
    </row>
    <row r="374" spans="1:5" x14ac:dyDescent="0.3">
      <c r="A374">
        <v>34</v>
      </c>
      <c r="B374" t="s">
        <v>652</v>
      </c>
      <c r="C374" t="s">
        <v>653</v>
      </c>
      <c r="D374" t="s">
        <v>642</v>
      </c>
      <c r="E374" s="4">
        <v>299</v>
      </c>
    </row>
    <row r="375" spans="1:5" x14ac:dyDescent="0.3">
      <c r="A375">
        <v>34</v>
      </c>
      <c r="B375" t="s">
        <v>652</v>
      </c>
      <c r="C375" t="s">
        <v>653</v>
      </c>
      <c r="D375" t="s">
        <v>643</v>
      </c>
      <c r="E375" s="4">
        <v>3148</v>
      </c>
    </row>
    <row r="376" spans="1:5" x14ac:dyDescent="0.3">
      <c r="A376">
        <v>34</v>
      </c>
      <c r="B376" t="s">
        <v>652</v>
      </c>
      <c r="C376" t="s">
        <v>653</v>
      </c>
      <c r="D376" t="s">
        <v>644</v>
      </c>
      <c r="E376" s="4">
        <v>548</v>
      </c>
    </row>
    <row r="377" spans="1:5" x14ac:dyDescent="0.3">
      <c r="A377">
        <v>35</v>
      </c>
      <c r="B377" t="s">
        <v>652</v>
      </c>
      <c r="C377" t="s">
        <v>653</v>
      </c>
      <c r="D377" t="s">
        <v>621</v>
      </c>
      <c r="E377" s="4">
        <v>798</v>
      </c>
    </row>
    <row r="378" spans="1:5" x14ac:dyDescent="0.3">
      <c r="A378">
        <v>35</v>
      </c>
      <c r="B378" t="s">
        <v>652</v>
      </c>
      <c r="C378" t="s">
        <v>653</v>
      </c>
      <c r="D378" t="s">
        <v>622</v>
      </c>
      <c r="E378" s="4">
        <v>1847</v>
      </c>
    </row>
    <row r="379" spans="1:5" x14ac:dyDescent="0.3">
      <c r="A379">
        <v>35</v>
      </c>
      <c r="B379" t="s">
        <v>652</v>
      </c>
      <c r="C379" t="s">
        <v>653</v>
      </c>
      <c r="D379" t="s">
        <v>631</v>
      </c>
      <c r="E379" s="4">
        <v>4999</v>
      </c>
    </row>
    <row r="380" spans="1:5" x14ac:dyDescent="0.3">
      <c r="A380">
        <v>35</v>
      </c>
      <c r="B380" t="s">
        <v>652</v>
      </c>
      <c r="C380" t="s">
        <v>653</v>
      </c>
      <c r="D380" t="s">
        <v>632</v>
      </c>
      <c r="E380" s="4">
        <v>99</v>
      </c>
    </row>
    <row r="381" spans="1:5" x14ac:dyDescent="0.3">
      <c r="A381">
        <v>35</v>
      </c>
      <c r="B381" t="s">
        <v>652</v>
      </c>
      <c r="C381" t="s">
        <v>653</v>
      </c>
      <c r="D381" t="s">
        <v>633</v>
      </c>
      <c r="E381" s="4">
        <v>149</v>
      </c>
    </row>
    <row r="382" spans="1:5" x14ac:dyDescent="0.3">
      <c r="A382">
        <v>35</v>
      </c>
      <c r="B382" t="s">
        <v>652</v>
      </c>
      <c r="C382" t="s">
        <v>653</v>
      </c>
      <c r="D382" t="s">
        <v>641</v>
      </c>
      <c r="E382" s="4">
        <v>299</v>
      </c>
    </row>
    <row r="383" spans="1:5" x14ac:dyDescent="0.3">
      <c r="A383">
        <v>35</v>
      </c>
      <c r="B383" t="s">
        <v>652</v>
      </c>
      <c r="C383" t="s">
        <v>653</v>
      </c>
      <c r="D383" t="s">
        <v>642</v>
      </c>
      <c r="E383" s="4">
        <v>299</v>
      </c>
    </row>
    <row r="384" spans="1:5" x14ac:dyDescent="0.3">
      <c r="A384">
        <v>35</v>
      </c>
      <c r="B384" t="s">
        <v>652</v>
      </c>
      <c r="C384" t="s">
        <v>653</v>
      </c>
      <c r="D384" t="s">
        <v>644</v>
      </c>
      <c r="E384" s="4">
        <v>149</v>
      </c>
    </row>
    <row r="385" spans="1:5" x14ac:dyDescent="0.3">
      <c r="A385">
        <v>35</v>
      </c>
      <c r="B385" t="s">
        <v>652</v>
      </c>
      <c r="C385" t="s">
        <v>653</v>
      </c>
      <c r="D385" t="s">
        <v>646</v>
      </c>
      <c r="E385" s="4">
        <v>499</v>
      </c>
    </row>
    <row r="386" spans="1:5" x14ac:dyDescent="0.3">
      <c r="A386">
        <v>35</v>
      </c>
      <c r="B386" t="s">
        <v>652</v>
      </c>
      <c r="C386" t="s">
        <v>653</v>
      </c>
      <c r="D386" t="s">
        <v>648</v>
      </c>
      <c r="E386" s="4">
        <v>49</v>
      </c>
    </row>
    <row r="387" spans="1:5" x14ac:dyDescent="0.3">
      <c r="A387">
        <v>35</v>
      </c>
      <c r="B387" t="s">
        <v>652</v>
      </c>
      <c r="C387" t="s">
        <v>653</v>
      </c>
      <c r="D387" t="s">
        <v>650</v>
      </c>
      <c r="E387" s="4">
        <v>99</v>
      </c>
    </row>
    <row r="388" spans="1:5" x14ac:dyDescent="0.3">
      <c r="A388">
        <v>36</v>
      </c>
      <c r="B388" t="s">
        <v>652</v>
      </c>
      <c r="C388" t="s">
        <v>653</v>
      </c>
      <c r="D388" t="s">
        <v>621</v>
      </c>
      <c r="E388" s="4">
        <v>149</v>
      </c>
    </row>
    <row r="389" spans="1:5" x14ac:dyDescent="0.3">
      <c r="A389">
        <v>36</v>
      </c>
      <c r="B389" t="s">
        <v>652</v>
      </c>
      <c r="C389" t="s">
        <v>653</v>
      </c>
      <c r="D389" t="s">
        <v>622</v>
      </c>
      <c r="E389" s="4">
        <v>299</v>
      </c>
    </row>
    <row r="390" spans="1:5" x14ac:dyDescent="0.3">
      <c r="A390">
        <v>36</v>
      </c>
      <c r="B390" t="s">
        <v>652</v>
      </c>
      <c r="C390" t="s">
        <v>653</v>
      </c>
      <c r="D390" t="s">
        <v>623</v>
      </c>
      <c r="E390" s="4">
        <v>248</v>
      </c>
    </row>
    <row r="391" spans="1:5" x14ac:dyDescent="0.3">
      <c r="A391">
        <v>36</v>
      </c>
      <c r="B391" t="s">
        <v>652</v>
      </c>
      <c r="C391" t="s">
        <v>653</v>
      </c>
      <c r="D391" t="s">
        <v>624</v>
      </c>
      <c r="E391" s="4">
        <v>149</v>
      </c>
    </row>
    <row r="392" spans="1:5" x14ac:dyDescent="0.3">
      <c r="A392">
        <v>36</v>
      </c>
      <c r="B392" t="s">
        <v>652</v>
      </c>
      <c r="C392" t="s">
        <v>653</v>
      </c>
      <c r="D392" t="s">
        <v>636</v>
      </c>
      <c r="E392" s="4">
        <v>1499</v>
      </c>
    </row>
    <row r="393" spans="1:5" x14ac:dyDescent="0.3">
      <c r="A393">
        <v>36</v>
      </c>
      <c r="B393" t="s">
        <v>652</v>
      </c>
      <c r="C393" t="s">
        <v>653</v>
      </c>
      <c r="D393" t="s">
        <v>637</v>
      </c>
      <c r="E393" s="4">
        <v>1499</v>
      </c>
    </row>
    <row r="394" spans="1:5" x14ac:dyDescent="0.3">
      <c r="A394">
        <v>36</v>
      </c>
      <c r="B394" t="s">
        <v>652</v>
      </c>
      <c r="C394" t="s">
        <v>653</v>
      </c>
      <c r="D394" t="s">
        <v>639</v>
      </c>
      <c r="E394" s="4">
        <v>4999</v>
      </c>
    </row>
    <row r="395" spans="1:5" x14ac:dyDescent="0.3">
      <c r="A395">
        <v>36</v>
      </c>
      <c r="B395" t="s">
        <v>652</v>
      </c>
      <c r="C395" t="s">
        <v>653</v>
      </c>
      <c r="D395" t="s">
        <v>640</v>
      </c>
      <c r="E395" s="4">
        <v>49</v>
      </c>
    </row>
    <row r="396" spans="1:5" x14ac:dyDescent="0.3">
      <c r="A396">
        <v>36</v>
      </c>
      <c r="B396" t="s">
        <v>652</v>
      </c>
      <c r="C396" t="s">
        <v>653</v>
      </c>
      <c r="D396" t="s">
        <v>644</v>
      </c>
      <c r="E396" s="4">
        <v>1647</v>
      </c>
    </row>
    <row r="397" spans="1:5" x14ac:dyDescent="0.3">
      <c r="A397">
        <v>36</v>
      </c>
      <c r="B397" t="s">
        <v>652</v>
      </c>
      <c r="C397" t="s">
        <v>653</v>
      </c>
      <c r="D397" t="s">
        <v>646</v>
      </c>
      <c r="E397" s="4">
        <v>198</v>
      </c>
    </row>
    <row r="398" spans="1:5" x14ac:dyDescent="0.3">
      <c r="A398">
        <v>36</v>
      </c>
      <c r="B398" t="s">
        <v>652</v>
      </c>
      <c r="C398" t="s">
        <v>653</v>
      </c>
      <c r="D398" t="s">
        <v>648</v>
      </c>
      <c r="E398" s="4">
        <v>999</v>
      </c>
    </row>
    <row r="399" spans="1:5" x14ac:dyDescent="0.3">
      <c r="A399">
        <v>36</v>
      </c>
      <c r="B399" t="s">
        <v>652</v>
      </c>
      <c r="C399" t="s">
        <v>653</v>
      </c>
      <c r="D399" t="s">
        <v>649</v>
      </c>
      <c r="E399" s="4">
        <v>799</v>
      </c>
    </row>
    <row r="400" spans="1:5" x14ac:dyDescent="0.3">
      <c r="A400">
        <v>37</v>
      </c>
      <c r="B400" t="s">
        <v>652</v>
      </c>
      <c r="C400" t="s">
        <v>653</v>
      </c>
      <c r="D400" t="s">
        <v>621</v>
      </c>
      <c r="E400" s="4">
        <v>598</v>
      </c>
    </row>
    <row r="401" spans="1:5" x14ac:dyDescent="0.3">
      <c r="A401">
        <v>37</v>
      </c>
      <c r="B401" t="s">
        <v>652</v>
      </c>
      <c r="C401" t="s">
        <v>653</v>
      </c>
      <c r="D401" t="s">
        <v>622</v>
      </c>
      <c r="E401" s="4">
        <v>2999</v>
      </c>
    </row>
    <row r="402" spans="1:5" x14ac:dyDescent="0.3">
      <c r="A402">
        <v>37</v>
      </c>
      <c r="B402" t="s">
        <v>652</v>
      </c>
      <c r="C402" t="s">
        <v>653</v>
      </c>
      <c r="D402" t="s">
        <v>623</v>
      </c>
      <c r="E402" s="4">
        <v>299</v>
      </c>
    </row>
    <row r="403" spans="1:5" x14ac:dyDescent="0.3">
      <c r="A403">
        <v>37</v>
      </c>
      <c r="B403" t="s">
        <v>652</v>
      </c>
      <c r="C403" t="s">
        <v>653</v>
      </c>
      <c r="D403" t="s">
        <v>624</v>
      </c>
      <c r="E403" s="4">
        <v>49</v>
      </c>
    </row>
    <row r="404" spans="1:5" x14ac:dyDescent="0.3">
      <c r="A404">
        <v>37</v>
      </c>
      <c r="B404" t="s">
        <v>652</v>
      </c>
      <c r="C404" t="s">
        <v>653</v>
      </c>
      <c r="D404" t="s">
        <v>625</v>
      </c>
      <c r="E404" s="4">
        <v>1499</v>
      </c>
    </row>
    <row r="405" spans="1:5" x14ac:dyDescent="0.3">
      <c r="A405">
        <v>37</v>
      </c>
      <c r="B405" t="s">
        <v>652</v>
      </c>
      <c r="C405" t="s">
        <v>653</v>
      </c>
      <c r="D405" t="s">
        <v>626</v>
      </c>
      <c r="E405" s="4">
        <v>99</v>
      </c>
    </row>
    <row r="406" spans="1:5" x14ac:dyDescent="0.3">
      <c r="A406">
        <v>37</v>
      </c>
      <c r="B406" t="s">
        <v>652</v>
      </c>
      <c r="C406" t="s">
        <v>653</v>
      </c>
      <c r="D406" t="s">
        <v>632</v>
      </c>
      <c r="E406" s="4">
        <v>149</v>
      </c>
    </row>
    <row r="407" spans="1:5" x14ac:dyDescent="0.3">
      <c r="A407">
        <v>37</v>
      </c>
      <c r="B407" t="s">
        <v>652</v>
      </c>
      <c r="C407" t="s">
        <v>653</v>
      </c>
      <c r="D407" t="s">
        <v>636</v>
      </c>
      <c r="E407" s="4">
        <v>2999</v>
      </c>
    </row>
    <row r="408" spans="1:5" x14ac:dyDescent="0.3">
      <c r="A408">
        <v>37</v>
      </c>
      <c r="B408" t="s">
        <v>652</v>
      </c>
      <c r="C408" t="s">
        <v>653</v>
      </c>
      <c r="D408" t="s">
        <v>637</v>
      </c>
      <c r="E408" s="4">
        <v>49</v>
      </c>
    </row>
    <row r="409" spans="1:5" x14ac:dyDescent="0.3">
      <c r="A409">
        <v>37</v>
      </c>
      <c r="B409" t="s">
        <v>652</v>
      </c>
      <c r="C409" t="s">
        <v>653</v>
      </c>
      <c r="D409" t="s">
        <v>640</v>
      </c>
      <c r="E409" s="4">
        <v>149</v>
      </c>
    </row>
    <row r="410" spans="1:5" x14ac:dyDescent="0.3">
      <c r="A410">
        <v>37</v>
      </c>
      <c r="B410" t="s">
        <v>652</v>
      </c>
      <c r="C410" t="s">
        <v>653</v>
      </c>
      <c r="D410" t="s">
        <v>641</v>
      </c>
      <c r="E410" s="4">
        <v>99</v>
      </c>
    </row>
    <row r="411" spans="1:5" x14ac:dyDescent="0.3">
      <c r="A411">
        <v>37</v>
      </c>
      <c r="B411" t="s">
        <v>652</v>
      </c>
      <c r="C411" t="s">
        <v>653</v>
      </c>
      <c r="D411" t="s">
        <v>643</v>
      </c>
      <c r="E411" s="4">
        <v>1999</v>
      </c>
    </row>
    <row r="412" spans="1:5" x14ac:dyDescent="0.3">
      <c r="A412">
        <v>37</v>
      </c>
      <c r="B412" t="s">
        <v>652</v>
      </c>
      <c r="C412" t="s">
        <v>653</v>
      </c>
      <c r="D412" t="s">
        <v>647</v>
      </c>
      <c r="E412" s="4">
        <v>799</v>
      </c>
    </row>
    <row r="413" spans="1:5" x14ac:dyDescent="0.3">
      <c r="A413">
        <v>37</v>
      </c>
      <c r="B413" t="s">
        <v>652</v>
      </c>
      <c r="C413" t="s">
        <v>653</v>
      </c>
      <c r="D413" t="s">
        <v>648</v>
      </c>
      <c r="E413" s="4">
        <v>697</v>
      </c>
    </row>
    <row r="414" spans="1:5" x14ac:dyDescent="0.3">
      <c r="A414">
        <v>37</v>
      </c>
      <c r="B414" t="s">
        <v>652</v>
      </c>
      <c r="C414" t="s">
        <v>653</v>
      </c>
      <c r="D414" t="s">
        <v>649</v>
      </c>
      <c r="E414" s="4">
        <v>149</v>
      </c>
    </row>
    <row r="415" spans="1:5" x14ac:dyDescent="0.3">
      <c r="A415">
        <v>37</v>
      </c>
      <c r="B415" t="s">
        <v>652</v>
      </c>
      <c r="C415" t="s">
        <v>653</v>
      </c>
      <c r="D415" t="s">
        <v>650</v>
      </c>
      <c r="E415" s="4">
        <v>299</v>
      </c>
    </row>
    <row r="416" spans="1:5" x14ac:dyDescent="0.3">
      <c r="A416">
        <v>38</v>
      </c>
      <c r="B416" t="s">
        <v>652</v>
      </c>
      <c r="C416" t="s">
        <v>653</v>
      </c>
      <c r="D416" t="s">
        <v>625</v>
      </c>
      <c r="E416" s="4">
        <v>1499</v>
      </c>
    </row>
    <row r="417" spans="1:5" x14ac:dyDescent="0.3">
      <c r="A417">
        <v>38</v>
      </c>
      <c r="B417" t="s">
        <v>652</v>
      </c>
      <c r="C417" t="s">
        <v>653</v>
      </c>
      <c r="D417" t="s">
        <v>626</v>
      </c>
      <c r="E417" s="4">
        <v>99</v>
      </c>
    </row>
    <row r="418" spans="1:5" x14ac:dyDescent="0.3">
      <c r="A418">
        <v>38</v>
      </c>
      <c r="B418" t="s">
        <v>652</v>
      </c>
      <c r="C418" t="s">
        <v>653</v>
      </c>
      <c r="D418" t="s">
        <v>629</v>
      </c>
      <c r="E418" s="4">
        <v>348</v>
      </c>
    </row>
    <row r="419" spans="1:5" x14ac:dyDescent="0.3">
      <c r="A419">
        <v>38</v>
      </c>
      <c r="B419" t="s">
        <v>652</v>
      </c>
      <c r="C419" t="s">
        <v>653</v>
      </c>
      <c r="D419" t="s">
        <v>630</v>
      </c>
      <c r="E419" s="4">
        <v>398</v>
      </c>
    </row>
    <row r="420" spans="1:5" x14ac:dyDescent="0.3">
      <c r="A420">
        <v>38</v>
      </c>
      <c r="B420" t="s">
        <v>652</v>
      </c>
      <c r="C420" t="s">
        <v>653</v>
      </c>
      <c r="D420" t="s">
        <v>635</v>
      </c>
      <c r="E420" s="4">
        <v>499</v>
      </c>
    </row>
    <row r="421" spans="1:5" x14ac:dyDescent="0.3">
      <c r="A421">
        <v>38</v>
      </c>
      <c r="B421" t="s">
        <v>652</v>
      </c>
      <c r="C421" t="s">
        <v>653</v>
      </c>
      <c r="D421" t="s">
        <v>642</v>
      </c>
      <c r="E421" s="4">
        <v>299</v>
      </c>
    </row>
    <row r="422" spans="1:5" x14ac:dyDescent="0.3">
      <c r="A422">
        <v>38</v>
      </c>
      <c r="B422" t="s">
        <v>652</v>
      </c>
      <c r="C422" t="s">
        <v>653</v>
      </c>
      <c r="D422" t="s">
        <v>643</v>
      </c>
      <c r="E422" s="4">
        <v>499</v>
      </c>
    </row>
    <row r="423" spans="1:5" x14ac:dyDescent="0.3">
      <c r="A423">
        <v>38</v>
      </c>
      <c r="B423" t="s">
        <v>652</v>
      </c>
      <c r="C423" t="s">
        <v>653</v>
      </c>
      <c r="D423" t="s">
        <v>648</v>
      </c>
      <c r="E423" s="4">
        <v>299</v>
      </c>
    </row>
    <row r="424" spans="1:5" x14ac:dyDescent="0.3">
      <c r="A424">
        <v>39</v>
      </c>
      <c r="B424" t="s">
        <v>652</v>
      </c>
      <c r="C424" t="s">
        <v>653</v>
      </c>
      <c r="D424" t="s">
        <v>622</v>
      </c>
      <c r="E424" s="4">
        <v>499</v>
      </c>
    </row>
    <row r="425" spans="1:5" x14ac:dyDescent="0.3">
      <c r="A425">
        <v>39</v>
      </c>
      <c r="B425" t="s">
        <v>652</v>
      </c>
      <c r="C425" t="s">
        <v>653</v>
      </c>
      <c r="D425" t="s">
        <v>625</v>
      </c>
      <c r="E425" s="4">
        <v>299</v>
      </c>
    </row>
    <row r="426" spans="1:5" x14ac:dyDescent="0.3">
      <c r="A426">
        <v>39</v>
      </c>
      <c r="B426" t="s">
        <v>652</v>
      </c>
      <c r="C426" t="s">
        <v>653</v>
      </c>
      <c r="D426" t="s">
        <v>629</v>
      </c>
      <c r="E426" s="4">
        <v>399</v>
      </c>
    </row>
    <row r="427" spans="1:5" x14ac:dyDescent="0.3">
      <c r="A427">
        <v>39</v>
      </c>
      <c r="B427" t="s">
        <v>652</v>
      </c>
      <c r="C427" t="s">
        <v>653</v>
      </c>
      <c r="D427" t="s">
        <v>630</v>
      </c>
      <c r="E427" s="4">
        <v>49</v>
      </c>
    </row>
    <row r="428" spans="1:5" x14ac:dyDescent="0.3">
      <c r="A428">
        <v>39</v>
      </c>
      <c r="B428" t="s">
        <v>652</v>
      </c>
      <c r="C428" t="s">
        <v>653</v>
      </c>
      <c r="D428" t="s">
        <v>636</v>
      </c>
      <c r="E428" s="4">
        <v>499</v>
      </c>
    </row>
    <row r="429" spans="1:5" x14ac:dyDescent="0.3">
      <c r="A429">
        <v>39</v>
      </c>
      <c r="B429" t="s">
        <v>652</v>
      </c>
      <c r="C429" t="s">
        <v>653</v>
      </c>
      <c r="D429" t="s">
        <v>637</v>
      </c>
      <c r="E429" s="4">
        <v>2999</v>
      </c>
    </row>
    <row r="430" spans="1:5" x14ac:dyDescent="0.3">
      <c r="A430">
        <v>39</v>
      </c>
      <c r="B430" t="s">
        <v>652</v>
      </c>
      <c r="C430" t="s">
        <v>653</v>
      </c>
      <c r="D430" t="s">
        <v>638</v>
      </c>
      <c r="E430" s="4">
        <v>2999</v>
      </c>
    </row>
    <row r="431" spans="1:5" x14ac:dyDescent="0.3">
      <c r="A431">
        <v>39</v>
      </c>
      <c r="B431" t="s">
        <v>652</v>
      </c>
      <c r="C431" t="s">
        <v>653</v>
      </c>
      <c r="D431" t="s">
        <v>642</v>
      </c>
      <c r="E431" s="4">
        <v>9796</v>
      </c>
    </row>
    <row r="432" spans="1:5" x14ac:dyDescent="0.3">
      <c r="A432">
        <v>39</v>
      </c>
      <c r="B432" t="s">
        <v>652</v>
      </c>
      <c r="C432" t="s">
        <v>653</v>
      </c>
      <c r="D432" t="s">
        <v>643</v>
      </c>
      <c r="E432" s="4">
        <v>4999</v>
      </c>
    </row>
    <row r="433" spans="1:5" x14ac:dyDescent="0.3">
      <c r="A433">
        <v>39</v>
      </c>
      <c r="B433" t="s">
        <v>652</v>
      </c>
      <c r="C433" t="s">
        <v>653</v>
      </c>
      <c r="D433" t="s">
        <v>649</v>
      </c>
      <c r="E433" s="4">
        <v>149</v>
      </c>
    </row>
    <row r="434" spans="1:5" x14ac:dyDescent="0.3">
      <c r="A434">
        <v>40</v>
      </c>
      <c r="B434" t="s">
        <v>652</v>
      </c>
      <c r="C434" t="s">
        <v>653</v>
      </c>
      <c r="D434" t="s">
        <v>621</v>
      </c>
      <c r="E434" s="4">
        <v>299</v>
      </c>
    </row>
    <row r="435" spans="1:5" x14ac:dyDescent="0.3">
      <c r="A435">
        <v>40</v>
      </c>
      <c r="B435" t="s">
        <v>652</v>
      </c>
      <c r="C435" t="s">
        <v>653</v>
      </c>
      <c r="D435" t="s">
        <v>623</v>
      </c>
      <c r="E435" s="4">
        <v>49</v>
      </c>
    </row>
    <row r="436" spans="1:5" x14ac:dyDescent="0.3">
      <c r="A436">
        <v>40</v>
      </c>
      <c r="B436" t="s">
        <v>652</v>
      </c>
      <c r="C436" t="s">
        <v>653</v>
      </c>
      <c r="D436" t="s">
        <v>628</v>
      </c>
      <c r="E436" s="4">
        <v>49</v>
      </c>
    </row>
    <row r="437" spans="1:5" x14ac:dyDescent="0.3">
      <c r="A437">
        <v>40</v>
      </c>
      <c r="B437" t="s">
        <v>652</v>
      </c>
      <c r="C437" t="s">
        <v>653</v>
      </c>
      <c r="D437" t="s">
        <v>631</v>
      </c>
      <c r="E437" s="4">
        <v>4999</v>
      </c>
    </row>
    <row r="438" spans="1:5" x14ac:dyDescent="0.3">
      <c r="A438">
        <v>40</v>
      </c>
      <c r="B438" t="s">
        <v>652</v>
      </c>
      <c r="C438" t="s">
        <v>653</v>
      </c>
      <c r="D438" t="s">
        <v>632</v>
      </c>
      <c r="E438" s="4">
        <v>99</v>
      </c>
    </row>
    <row r="439" spans="1:5" x14ac:dyDescent="0.3">
      <c r="A439">
        <v>40</v>
      </c>
      <c r="B439" t="s">
        <v>652</v>
      </c>
      <c r="C439" t="s">
        <v>653</v>
      </c>
      <c r="D439" t="s">
        <v>633</v>
      </c>
      <c r="E439" s="4">
        <v>299</v>
      </c>
    </row>
    <row r="440" spans="1:5" x14ac:dyDescent="0.3">
      <c r="A440">
        <v>40</v>
      </c>
      <c r="B440" t="s">
        <v>652</v>
      </c>
      <c r="C440" t="s">
        <v>653</v>
      </c>
      <c r="D440" t="s">
        <v>634</v>
      </c>
      <c r="E440" s="4">
        <v>99</v>
      </c>
    </row>
    <row r="441" spans="1:5" x14ac:dyDescent="0.3">
      <c r="A441">
        <v>40</v>
      </c>
      <c r="B441" t="s">
        <v>652</v>
      </c>
      <c r="C441" t="s">
        <v>653</v>
      </c>
      <c r="D441" t="s">
        <v>635</v>
      </c>
      <c r="E441" s="4">
        <v>149</v>
      </c>
    </row>
    <row r="442" spans="1:5" x14ac:dyDescent="0.3">
      <c r="A442">
        <v>40</v>
      </c>
      <c r="B442" t="s">
        <v>652</v>
      </c>
      <c r="C442" t="s">
        <v>653</v>
      </c>
      <c r="D442" t="s">
        <v>638</v>
      </c>
      <c r="E442" s="4">
        <v>799</v>
      </c>
    </row>
    <row r="443" spans="1:5" x14ac:dyDescent="0.3">
      <c r="A443">
        <v>40</v>
      </c>
      <c r="B443" t="s">
        <v>652</v>
      </c>
      <c r="C443" t="s">
        <v>653</v>
      </c>
      <c r="D443" t="s">
        <v>639</v>
      </c>
      <c r="E443" s="4">
        <v>648</v>
      </c>
    </row>
    <row r="444" spans="1:5" x14ac:dyDescent="0.3">
      <c r="A444">
        <v>40</v>
      </c>
      <c r="B444" t="s">
        <v>652</v>
      </c>
      <c r="C444" t="s">
        <v>653</v>
      </c>
      <c r="D444" t="s">
        <v>643</v>
      </c>
      <c r="E444" s="4">
        <v>598</v>
      </c>
    </row>
    <row r="445" spans="1:5" x14ac:dyDescent="0.3">
      <c r="A445">
        <v>40</v>
      </c>
      <c r="B445" t="s">
        <v>652</v>
      </c>
      <c r="C445" t="s">
        <v>653</v>
      </c>
      <c r="D445" t="s">
        <v>649</v>
      </c>
      <c r="E445" s="4">
        <v>149</v>
      </c>
    </row>
    <row r="446" spans="1:5" x14ac:dyDescent="0.3">
      <c r="A446">
        <v>40</v>
      </c>
      <c r="B446" t="s">
        <v>652</v>
      </c>
      <c r="C446" t="s">
        <v>653</v>
      </c>
      <c r="D446" t="s">
        <v>650</v>
      </c>
      <c r="E446" s="4">
        <v>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4102-A724-40EC-868E-9423B1C23216}">
  <dimension ref="A3:I46"/>
  <sheetViews>
    <sheetView topLeftCell="A2" zoomScale="53" workbookViewId="0">
      <selection activeCell="A5" sqref="A5"/>
    </sheetView>
  </sheetViews>
  <sheetFormatPr defaultRowHeight="14.4" x14ac:dyDescent="0.3"/>
  <cols>
    <col min="1" max="1" width="19.6640625" bestFit="1" customWidth="1"/>
    <col min="2" max="7" width="28.5546875" bestFit="1" customWidth="1"/>
    <col min="8" max="8" width="35.109375" bestFit="1" customWidth="1"/>
    <col min="9" max="9" width="29.44140625" bestFit="1" customWidth="1"/>
  </cols>
  <sheetData>
    <row r="3" spans="1:9" x14ac:dyDescent="0.3">
      <c r="B3" s="5" t="s">
        <v>6</v>
      </c>
      <c r="C3" s="5" t="s">
        <v>662</v>
      </c>
    </row>
    <row r="4" spans="1:9" x14ac:dyDescent="0.3">
      <c r="B4" t="s">
        <v>10</v>
      </c>
      <c r="D4" t="s">
        <v>38</v>
      </c>
      <c r="F4" t="s">
        <v>25</v>
      </c>
      <c r="H4" t="s">
        <v>660</v>
      </c>
      <c r="I4" t="s">
        <v>661</v>
      </c>
    </row>
    <row r="5" spans="1:9" x14ac:dyDescent="0.3">
      <c r="A5" s="5" t="s">
        <v>2</v>
      </c>
      <c r="B5" t="s">
        <v>659</v>
      </c>
      <c r="C5" t="s">
        <v>651</v>
      </c>
      <c r="D5" t="s">
        <v>659</v>
      </c>
      <c r="E5" t="s">
        <v>651</v>
      </c>
      <c r="F5" t="s">
        <v>659</v>
      </c>
      <c r="G5" t="s">
        <v>651</v>
      </c>
    </row>
    <row r="6" spans="1:9" x14ac:dyDescent="0.3">
      <c r="A6">
        <v>1</v>
      </c>
      <c r="B6" s="4">
        <v>8</v>
      </c>
      <c r="C6" s="4">
        <v>10142</v>
      </c>
      <c r="D6" s="4"/>
      <c r="E6" s="4"/>
      <c r="F6" s="4">
        <v>1</v>
      </c>
      <c r="G6" s="4">
        <v>299</v>
      </c>
      <c r="H6" s="4">
        <v>9</v>
      </c>
      <c r="I6" s="4">
        <v>10441</v>
      </c>
    </row>
    <row r="7" spans="1:9" x14ac:dyDescent="0.3">
      <c r="A7">
        <v>2</v>
      </c>
      <c r="B7" s="4">
        <v>10</v>
      </c>
      <c r="C7" s="4">
        <v>3640</v>
      </c>
      <c r="D7" s="4"/>
      <c r="E7" s="4"/>
      <c r="F7" s="4"/>
      <c r="G7" s="4"/>
      <c r="H7" s="4">
        <v>10</v>
      </c>
      <c r="I7" s="4">
        <v>3640</v>
      </c>
    </row>
    <row r="8" spans="1:9" x14ac:dyDescent="0.3">
      <c r="A8">
        <v>3</v>
      </c>
      <c r="B8" s="4">
        <v>16</v>
      </c>
      <c r="C8" s="4">
        <v>8084</v>
      </c>
      <c r="D8" s="4">
        <v>1</v>
      </c>
      <c r="E8" s="4">
        <v>149</v>
      </c>
      <c r="F8" s="4"/>
      <c r="G8" s="4"/>
      <c r="H8" s="4">
        <v>17</v>
      </c>
      <c r="I8" s="4">
        <v>8233</v>
      </c>
    </row>
    <row r="9" spans="1:9" x14ac:dyDescent="0.3">
      <c r="A9">
        <v>4</v>
      </c>
      <c r="B9" s="4">
        <v>9</v>
      </c>
      <c r="C9" s="4">
        <v>6941</v>
      </c>
      <c r="D9" s="4"/>
      <c r="E9" s="4"/>
      <c r="F9" s="4"/>
      <c r="G9" s="4"/>
      <c r="H9" s="4">
        <v>9</v>
      </c>
      <c r="I9" s="4">
        <v>6941</v>
      </c>
    </row>
    <row r="10" spans="1:9" x14ac:dyDescent="0.3">
      <c r="A10">
        <v>5</v>
      </c>
      <c r="B10" s="4">
        <v>10</v>
      </c>
      <c r="C10" s="4">
        <v>5340</v>
      </c>
      <c r="D10" s="4"/>
      <c r="E10" s="4"/>
      <c r="F10" s="4">
        <v>1</v>
      </c>
      <c r="G10" s="4">
        <v>499</v>
      </c>
      <c r="H10" s="4">
        <v>11</v>
      </c>
      <c r="I10" s="4">
        <v>5839</v>
      </c>
    </row>
    <row r="11" spans="1:9" x14ac:dyDescent="0.3">
      <c r="A11">
        <v>6</v>
      </c>
      <c r="B11" s="4">
        <v>13</v>
      </c>
      <c r="C11" s="4">
        <v>6637</v>
      </c>
      <c r="D11" s="4">
        <v>1</v>
      </c>
      <c r="E11" s="4">
        <v>799</v>
      </c>
      <c r="F11" s="4"/>
      <c r="G11" s="4"/>
      <c r="H11" s="4">
        <v>14</v>
      </c>
      <c r="I11" s="4">
        <v>7436</v>
      </c>
    </row>
    <row r="12" spans="1:9" x14ac:dyDescent="0.3">
      <c r="A12">
        <v>7</v>
      </c>
      <c r="B12" s="4">
        <v>12</v>
      </c>
      <c r="C12" s="4">
        <v>11638</v>
      </c>
      <c r="D12" s="4">
        <v>1</v>
      </c>
      <c r="E12" s="4">
        <v>1999</v>
      </c>
      <c r="F12" s="4">
        <v>3</v>
      </c>
      <c r="G12" s="4">
        <v>2297</v>
      </c>
      <c r="H12" s="4">
        <v>16</v>
      </c>
      <c r="I12" s="4">
        <v>15934</v>
      </c>
    </row>
    <row r="13" spans="1:9" x14ac:dyDescent="0.3">
      <c r="A13">
        <v>8</v>
      </c>
      <c r="B13" s="4">
        <v>14</v>
      </c>
      <c r="C13" s="4">
        <v>7086</v>
      </c>
      <c r="D13" s="4">
        <v>1</v>
      </c>
      <c r="E13" s="4">
        <v>49</v>
      </c>
      <c r="F13" s="4">
        <v>1</v>
      </c>
      <c r="G13" s="4">
        <v>299</v>
      </c>
      <c r="H13" s="4">
        <v>16</v>
      </c>
      <c r="I13" s="4">
        <v>7434</v>
      </c>
    </row>
    <row r="14" spans="1:9" x14ac:dyDescent="0.3">
      <c r="A14">
        <v>9</v>
      </c>
      <c r="B14" s="4">
        <v>15</v>
      </c>
      <c r="C14" s="4">
        <v>4485</v>
      </c>
      <c r="D14" s="4"/>
      <c r="E14" s="4"/>
      <c r="F14" s="4">
        <v>3</v>
      </c>
      <c r="G14" s="4">
        <v>497</v>
      </c>
      <c r="H14" s="4">
        <v>18</v>
      </c>
      <c r="I14" s="4">
        <v>4982</v>
      </c>
    </row>
    <row r="15" spans="1:9" x14ac:dyDescent="0.3">
      <c r="A15">
        <v>10</v>
      </c>
      <c r="B15" s="4">
        <v>11</v>
      </c>
      <c r="C15" s="4">
        <v>7639</v>
      </c>
      <c r="D15" s="4">
        <v>2</v>
      </c>
      <c r="E15" s="4">
        <v>5048</v>
      </c>
      <c r="F15" s="4">
        <v>1</v>
      </c>
      <c r="G15" s="4">
        <v>399</v>
      </c>
      <c r="H15" s="4">
        <v>14</v>
      </c>
      <c r="I15" s="4">
        <v>13086</v>
      </c>
    </row>
    <row r="16" spans="1:9" x14ac:dyDescent="0.3">
      <c r="A16">
        <v>11</v>
      </c>
      <c r="B16" s="4">
        <v>8</v>
      </c>
      <c r="C16" s="4">
        <v>9292</v>
      </c>
      <c r="D16" s="4">
        <v>1</v>
      </c>
      <c r="E16" s="4">
        <v>149</v>
      </c>
      <c r="F16" s="4">
        <v>1</v>
      </c>
      <c r="G16" s="4">
        <v>1499</v>
      </c>
      <c r="H16" s="4">
        <v>10</v>
      </c>
      <c r="I16" s="4">
        <v>10940</v>
      </c>
    </row>
    <row r="17" spans="1:9" x14ac:dyDescent="0.3">
      <c r="A17">
        <v>12</v>
      </c>
      <c r="B17" s="4">
        <v>11</v>
      </c>
      <c r="C17" s="4">
        <v>9389</v>
      </c>
      <c r="D17" s="4"/>
      <c r="E17" s="4"/>
      <c r="F17" s="4">
        <v>2</v>
      </c>
      <c r="G17" s="4">
        <v>998</v>
      </c>
      <c r="H17" s="4">
        <v>13</v>
      </c>
      <c r="I17" s="4">
        <v>10387</v>
      </c>
    </row>
    <row r="18" spans="1:9" x14ac:dyDescent="0.3">
      <c r="A18">
        <v>13</v>
      </c>
      <c r="B18" s="4">
        <v>10</v>
      </c>
      <c r="C18" s="4">
        <v>10390</v>
      </c>
      <c r="D18" s="4">
        <v>1</v>
      </c>
      <c r="E18" s="4">
        <v>4999</v>
      </c>
      <c r="F18" s="4">
        <v>1</v>
      </c>
      <c r="G18" s="4">
        <v>2999</v>
      </c>
      <c r="H18" s="4">
        <v>12</v>
      </c>
      <c r="I18" s="4">
        <v>18388</v>
      </c>
    </row>
    <row r="19" spans="1:9" x14ac:dyDescent="0.3">
      <c r="A19">
        <v>14</v>
      </c>
      <c r="B19" s="4">
        <v>11</v>
      </c>
      <c r="C19" s="4">
        <v>6189</v>
      </c>
      <c r="D19" s="4"/>
      <c r="E19" s="4"/>
      <c r="F19" s="4">
        <v>1</v>
      </c>
      <c r="G19" s="4">
        <v>299</v>
      </c>
      <c r="H19" s="4">
        <v>12</v>
      </c>
      <c r="I19" s="4">
        <v>6488</v>
      </c>
    </row>
    <row r="20" spans="1:9" x14ac:dyDescent="0.3">
      <c r="A20">
        <v>15</v>
      </c>
      <c r="B20" s="4">
        <v>11</v>
      </c>
      <c r="C20" s="4">
        <v>7439</v>
      </c>
      <c r="D20" s="4"/>
      <c r="E20" s="4"/>
      <c r="F20" s="4">
        <v>1</v>
      </c>
      <c r="G20" s="4">
        <v>399</v>
      </c>
      <c r="H20" s="4">
        <v>12</v>
      </c>
      <c r="I20" s="4">
        <v>7838</v>
      </c>
    </row>
    <row r="21" spans="1:9" x14ac:dyDescent="0.3">
      <c r="A21">
        <v>16</v>
      </c>
      <c r="B21" s="4">
        <v>17</v>
      </c>
      <c r="C21" s="4">
        <v>10183</v>
      </c>
      <c r="D21" s="4"/>
      <c r="E21" s="4"/>
      <c r="F21" s="4">
        <v>3</v>
      </c>
      <c r="G21" s="4">
        <v>947</v>
      </c>
      <c r="H21" s="4">
        <v>20</v>
      </c>
      <c r="I21" s="4">
        <v>11130</v>
      </c>
    </row>
    <row r="22" spans="1:9" x14ac:dyDescent="0.3">
      <c r="A22">
        <v>17</v>
      </c>
      <c r="B22" s="4">
        <v>12</v>
      </c>
      <c r="C22" s="4">
        <v>12738</v>
      </c>
      <c r="D22" s="4"/>
      <c r="E22" s="4"/>
      <c r="F22" s="4">
        <v>1</v>
      </c>
      <c r="G22" s="4">
        <v>299</v>
      </c>
      <c r="H22" s="4">
        <v>13</v>
      </c>
      <c r="I22" s="4">
        <v>13037</v>
      </c>
    </row>
    <row r="23" spans="1:9" x14ac:dyDescent="0.3">
      <c r="A23">
        <v>18</v>
      </c>
      <c r="B23" s="4">
        <v>11</v>
      </c>
      <c r="C23" s="4">
        <v>7089</v>
      </c>
      <c r="D23" s="4"/>
      <c r="E23" s="4"/>
      <c r="F23" s="4"/>
      <c r="G23" s="4"/>
      <c r="H23" s="4">
        <v>11</v>
      </c>
      <c r="I23" s="4">
        <v>7089</v>
      </c>
    </row>
    <row r="24" spans="1:9" x14ac:dyDescent="0.3">
      <c r="A24">
        <v>19</v>
      </c>
      <c r="B24" s="4">
        <v>11</v>
      </c>
      <c r="C24" s="4">
        <v>7239</v>
      </c>
      <c r="D24" s="4">
        <v>1</v>
      </c>
      <c r="E24" s="4">
        <v>4999</v>
      </c>
      <c r="F24" s="4">
        <v>2</v>
      </c>
      <c r="G24" s="4">
        <v>598</v>
      </c>
      <c r="H24" s="4">
        <v>14</v>
      </c>
      <c r="I24" s="4">
        <v>12836</v>
      </c>
    </row>
    <row r="25" spans="1:9" x14ac:dyDescent="0.3">
      <c r="A25">
        <v>20</v>
      </c>
      <c r="B25" s="4">
        <v>8</v>
      </c>
      <c r="C25" s="4">
        <v>4192</v>
      </c>
      <c r="D25" s="4"/>
      <c r="E25" s="4"/>
      <c r="F25" s="4">
        <v>1</v>
      </c>
      <c r="G25" s="4">
        <v>49</v>
      </c>
      <c r="H25" s="4">
        <v>9</v>
      </c>
      <c r="I25" s="4">
        <v>4241</v>
      </c>
    </row>
    <row r="26" spans="1:9" x14ac:dyDescent="0.3">
      <c r="A26">
        <v>21</v>
      </c>
      <c r="B26" s="4">
        <v>13</v>
      </c>
      <c r="C26" s="4">
        <v>3887</v>
      </c>
      <c r="D26" s="4"/>
      <c r="E26" s="4"/>
      <c r="F26" s="4">
        <v>1</v>
      </c>
      <c r="G26" s="4">
        <v>4999</v>
      </c>
      <c r="H26" s="4">
        <v>14</v>
      </c>
      <c r="I26" s="4">
        <v>8886</v>
      </c>
    </row>
    <row r="27" spans="1:9" x14ac:dyDescent="0.3">
      <c r="A27">
        <v>22</v>
      </c>
      <c r="B27" s="4">
        <v>14</v>
      </c>
      <c r="C27" s="4">
        <v>11336</v>
      </c>
      <c r="D27" s="4"/>
      <c r="E27" s="4"/>
      <c r="F27" s="4">
        <v>2</v>
      </c>
      <c r="G27" s="4">
        <v>1198</v>
      </c>
      <c r="H27" s="4">
        <v>16</v>
      </c>
      <c r="I27" s="4">
        <v>12534</v>
      </c>
    </row>
    <row r="28" spans="1:9" x14ac:dyDescent="0.3">
      <c r="A28">
        <v>23</v>
      </c>
      <c r="B28" s="4">
        <v>9</v>
      </c>
      <c r="C28" s="4">
        <v>1041</v>
      </c>
      <c r="D28" s="4">
        <v>1</v>
      </c>
      <c r="E28" s="4">
        <v>1999</v>
      </c>
      <c r="F28" s="4"/>
      <c r="G28" s="4"/>
      <c r="H28" s="4">
        <v>10</v>
      </c>
      <c r="I28" s="4">
        <v>3040</v>
      </c>
    </row>
    <row r="29" spans="1:9" x14ac:dyDescent="0.3">
      <c r="A29">
        <v>24</v>
      </c>
      <c r="B29" s="4">
        <v>12</v>
      </c>
      <c r="C29" s="4">
        <v>3438</v>
      </c>
      <c r="D29" s="4">
        <v>1</v>
      </c>
      <c r="E29" s="4">
        <v>149</v>
      </c>
      <c r="F29" s="4"/>
      <c r="G29" s="4"/>
      <c r="H29" s="4">
        <v>13</v>
      </c>
      <c r="I29" s="4">
        <v>3587</v>
      </c>
    </row>
    <row r="30" spans="1:9" x14ac:dyDescent="0.3">
      <c r="A30">
        <v>25</v>
      </c>
      <c r="B30" s="4">
        <v>16</v>
      </c>
      <c r="C30" s="4">
        <v>12534</v>
      </c>
      <c r="D30" s="4">
        <v>1</v>
      </c>
      <c r="E30" s="4">
        <v>2999</v>
      </c>
      <c r="F30" s="4"/>
      <c r="G30" s="4"/>
      <c r="H30" s="4">
        <v>17</v>
      </c>
      <c r="I30" s="4">
        <v>15533</v>
      </c>
    </row>
    <row r="31" spans="1:9" x14ac:dyDescent="0.3">
      <c r="A31">
        <v>26</v>
      </c>
      <c r="B31" s="4">
        <v>9</v>
      </c>
      <c r="C31" s="4">
        <v>2991</v>
      </c>
      <c r="D31" s="4"/>
      <c r="E31" s="4"/>
      <c r="F31" s="4">
        <v>3</v>
      </c>
      <c r="G31" s="4">
        <v>2197</v>
      </c>
      <c r="H31" s="4">
        <v>12</v>
      </c>
      <c r="I31" s="4">
        <v>5188</v>
      </c>
    </row>
    <row r="32" spans="1:9" x14ac:dyDescent="0.3">
      <c r="A32">
        <v>27</v>
      </c>
      <c r="B32" s="4">
        <v>12</v>
      </c>
      <c r="C32" s="4">
        <v>8038</v>
      </c>
      <c r="D32" s="4">
        <v>3</v>
      </c>
      <c r="E32" s="4">
        <v>4047</v>
      </c>
      <c r="F32" s="4">
        <v>1</v>
      </c>
      <c r="G32" s="4">
        <v>1499</v>
      </c>
      <c r="H32" s="4">
        <v>16</v>
      </c>
      <c r="I32" s="4">
        <v>13584</v>
      </c>
    </row>
    <row r="33" spans="1:9" x14ac:dyDescent="0.3">
      <c r="A33">
        <v>28</v>
      </c>
      <c r="B33" s="4">
        <v>7</v>
      </c>
      <c r="C33" s="4">
        <v>4493</v>
      </c>
      <c r="D33" s="4">
        <v>1</v>
      </c>
      <c r="E33" s="4">
        <v>1999</v>
      </c>
      <c r="F33" s="4">
        <v>2</v>
      </c>
      <c r="G33" s="4">
        <v>3048</v>
      </c>
      <c r="H33" s="4">
        <v>10</v>
      </c>
      <c r="I33" s="4">
        <v>9540</v>
      </c>
    </row>
    <row r="34" spans="1:9" x14ac:dyDescent="0.3">
      <c r="A34">
        <v>29</v>
      </c>
      <c r="B34" s="4">
        <v>14</v>
      </c>
      <c r="C34" s="4">
        <v>5686</v>
      </c>
      <c r="D34" s="4">
        <v>3</v>
      </c>
      <c r="E34" s="4">
        <v>3897</v>
      </c>
      <c r="F34" s="4">
        <v>2</v>
      </c>
      <c r="G34" s="4">
        <v>3498</v>
      </c>
      <c r="H34" s="4">
        <v>19</v>
      </c>
      <c r="I34" s="4">
        <v>13081</v>
      </c>
    </row>
    <row r="35" spans="1:9" x14ac:dyDescent="0.3">
      <c r="A35">
        <v>30</v>
      </c>
      <c r="B35" s="4">
        <v>16</v>
      </c>
      <c r="C35" s="4">
        <v>7384</v>
      </c>
      <c r="D35" s="4"/>
      <c r="E35" s="4"/>
      <c r="F35" s="4">
        <v>1</v>
      </c>
      <c r="G35" s="4">
        <v>499</v>
      </c>
      <c r="H35" s="4">
        <v>17</v>
      </c>
      <c r="I35" s="4">
        <v>7883</v>
      </c>
    </row>
    <row r="36" spans="1:9" x14ac:dyDescent="0.3">
      <c r="A36">
        <v>31</v>
      </c>
      <c r="B36" s="4">
        <v>10</v>
      </c>
      <c r="C36" s="4">
        <v>2640</v>
      </c>
      <c r="D36" s="4">
        <v>1</v>
      </c>
      <c r="E36" s="4">
        <v>49</v>
      </c>
      <c r="F36" s="4">
        <v>4</v>
      </c>
      <c r="G36" s="4">
        <v>2146</v>
      </c>
      <c r="H36" s="4">
        <v>15</v>
      </c>
      <c r="I36" s="4">
        <v>4835</v>
      </c>
    </row>
    <row r="37" spans="1:9" x14ac:dyDescent="0.3">
      <c r="A37">
        <v>32</v>
      </c>
      <c r="B37" s="4">
        <v>11</v>
      </c>
      <c r="C37" s="4">
        <v>2589</v>
      </c>
      <c r="D37" s="4">
        <v>1</v>
      </c>
      <c r="E37" s="4">
        <v>1999</v>
      </c>
      <c r="F37" s="4">
        <v>2</v>
      </c>
      <c r="G37" s="4">
        <v>3498</v>
      </c>
      <c r="H37" s="4">
        <v>14</v>
      </c>
      <c r="I37" s="4">
        <v>8086</v>
      </c>
    </row>
    <row r="38" spans="1:9" x14ac:dyDescent="0.3">
      <c r="A38">
        <v>33</v>
      </c>
      <c r="B38" s="4">
        <v>10</v>
      </c>
      <c r="C38" s="4">
        <v>10190</v>
      </c>
      <c r="D38" s="4"/>
      <c r="E38" s="4"/>
      <c r="F38" s="4">
        <v>1</v>
      </c>
      <c r="G38" s="4">
        <v>149</v>
      </c>
      <c r="H38" s="4">
        <v>11</v>
      </c>
      <c r="I38" s="4">
        <v>10339</v>
      </c>
    </row>
    <row r="39" spans="1:9" x14ac:dyDescent="0.3">
      <c r="A39">
        <v>34</v>
      </c>
      <c r="B39" s="4">
        <v>15</v>
      </c>
      <c r="C39" s="4">
        <v>9635</v>
      </c>
      <c r="D39" s="4"/>
      <c r="E39" s="4"/>
      <c r="F39" s="4">
        <v>1</v>
      </c>
      <c r="G39" s="4">
        <v>399</v>
      </c>
      <c r="H39" s="4">
        <v>16</v>
      </c>
      <c r="I39" s="4">
        <v>10034</v>
      </c>
    </row>
    <row r="40" spans="1:9" x14ac:dyDescent="0.3">
      <c r="A40">
        <v>35</v>
      </c>
      <c r="B40" s="4">
        <v>12</v>
      </c>
      <c r="C40" s="4">
        <v>8688</v>
      </c>
      <c r="D40" s="4"/>
      <c r="E40" s="4"/>
      <c r="F40" s="4">
        <v>2</v>
      </c>
      <c r="G40" s="4">
        <v>598</v>
      </c>
      <c r="H40" s="4">
        <v>14</v>
      </c>
      <c r="I40" s="4">
        <v>9286</v>
      </c>
    </row>
    <row r="41" spans="1:9" x14ac:dyDescent="0.3">
      <c r="A41">
        <v>36</v>
      </c>
      <c r="B41" s="4">
        <v>15</v>
      </c>
      <c r="C41" s="4">
        <v>11535</v>
      </c>
      <c r="D41" s="4">
        <v>1</v>
      </c>
      <c r="E41" s="4">
        <v>999</v>
      </c>
      <c r="F41" s="4"/>
      <c r="G41" s="4"/>
      <c r="H41" s="4">
        <v>16</v>
      </c>
      <c r="I41" s="4">
        <v>12534</v>
      </c>
    </row>
    <row r="42" spans="1:9" x14ac:dyDescent="0.3">
      <c r="A42">
        <v>37</v>
      </c>
      <c r="B42" s="4">
        <v>17</v>
      </c>
      <c r="C42" s="4">
        <v>10833</v>
      </c>
      <c r="D42" s="4">
        <v>1</v>
      </c>
      <c r="E42" s="4">
        <v>1999</v>
      </c>
      <c r="F42" s="4">
        <v>1</v>
      </c>
      <c r="G42" s="4">
        <v>99</v>
      </c>
      <c r="H42" s="4">
        <v>19</v>
      </c>
      <c r="I42" s="4">
        <v>12931</v>
      </c>
    </row>
    <row r="43" spans="1:9" x14ac:dyDescent="0.3">
      <c r="A43">
        <v>38</v>
      </c>
      <c r="B43" s="4">
        <v>8</v>
      </c>
      <c r="C43" s="4">
        <v>3342</v>
      </c>
      <c r="D43" s="4"/>
      <c r="E43" s="4"/>
      <c r="F43" s="4">
        <v>2</v>
      </c>
      <c r="G43" s="4">
        <v>598</v>
      </c>
      <c r="H43" s="4">
        <v>10</v>
      </c>
      <c r="I43" s="4">
        <v>3940</v>
      </c>
    </row>
    <row r="44" spans="1:9" x14ac:dyDescent="0.3">
      <c r="A44">
        <v>39</v>
      </c>
      <c r="B44" s="4">
        <v>9</v>
      </c>
      <c r="C44" s="4">
        <v>11291</v>
      </c>
      <c r="D44" s="4">
        <v>3</v>
      </c>
      <c r="E44" s="4">
        <v>10997</v>
      </c>
      <c r="F44" s="4">
        <v>1</v>
      </c>
      <c r="G44" s="4">
        <v>399</v>
      </c>
      <c r="H44" s="4">
        <v>13</v>
      </c>
      <c r="I44" s="4">
        <v>22687</v>
      </c>
    </row>
    <row r="45" spans="1:9" x14ac:dyDescent="0.3">
      <c r="A45">
        <v>40</v>
      </c>
      <c r="B45" s="4">
        <v>11</v>
      </c>
      <c r="C45" s="4">
        <v>3039</v>
      </c>
      <c r="D45" s="4">
        <v>2</v>
      </c>
      <c r="E45" s="4">
        <v>5148</v>
      </c>
      <c r="F45" s="4">
        <v>2</v>
      </c>
      <c r="G45" s="4">
        <v>548</v>
      </c>
      <c r="H45" s="4">
        <v>15</v>
      </c>
      <c r="I45" s="4">
        <v>8735</v>
      </c>
    </row>
    <row r="46" spans="1:9" x14ac:dyDescent="0.3">
      <c r="A46" t="s">
        <v>620</v>
      </c>
      <c r="B46" s="4">
        <v>468</v>
      </c>
      <c r="C46" s="4">
        <v>290382</v>
      </c>
      <c r="D46" s="4">
        <v>28</v>
      </c>
      <c r="E46" s="4">
        <v>54472</v>
      </c>
      <c r="F46" s="4">
        <v>51</v>
      </c>
      <c r="G46" s="4">
        <v>37749</v>
      </c>
      <c r="H46" s="4">
        <v>547</v>
      </c>
      <c r="I46" s="4">
        <v>382603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920EC-23FE-4717-9AE7-079E0DA463D7}">
  <dimension ref="A3:C44"/>
  <sheetViews>
    <sheetView tabSelected="1" workbookViewId="0">
      <selection activeCell="H16" sqref="H16"/>
    </sheetView>
  </sheetViews>
  <sheetFormatPr defaultRowHeight="14.4" x14ac:dyDescent="0.3"/>
  <cols>
    <col min="1" max="1" width="12.5546875" bestFit="1" customWidth="1"/>
    <col min="2" max="2" width="21" bestFit="1" customWidth="1"/>
    <col min="3" max="3" width="30.21875" bestFit="1" customWidth="1"/>
  </cols>
  <sheetData>
    <row r="3" spans="1:3" x14ac:dyDescent="0.3">
      <c r="A3" s="5" t="s">
        <v>619</v>
      </c>
      <c r="B3" t="s">
        <v>659</v>
      </c>
      <c r="C3" t="s">
        <v>664</v>
      </c>
    </row>
    <row r="4" spans="1:3" x14ac:dyDescent="0.3">
      <c r="A4" s="6">
        <v>1</v>
      </c>
      <c r="B4" s="4">
        <v>9</v>
      </c>
      <c r="C4" s="4">
        <v>7</v>
      </c>
    </row>
    <row r="5" spans="1:3" x14ac:dyDescent="0.3">
      <c r="A5" s="6">
        <v>2</v>
      </c>
      <c r="B5" s="4">
        <v>10</v>
      </c>
      <c r="C5" s="4">
        <v>9</v>
      </c>
    </row>
    <row r="6" spans="1:3" x14ac:dyDescent="0.3">
      <c r="A6" s="6">
        <v>3</v>
      </c>
      <c r="B6" s="4">
        <v>17</v>
      </c>
      <c r="C6" s="4">
        <v>13</v>
      </c>
    </row>
    <row r="7" spans="1:3" x14ac:dyDescent="0.3">
      <c r="A7" s="6">
        <v>4</v>
      </c>
      <c r="B7" s="4">
        <v>9</v>
      </c>
      <c r="C7" s="4">
        <v>7</v>
      </c>
    </row>
    <row r="8" spans="1:3" x14ac:dyDescent="0.3">
      <c r="A8" s="6">
        <v>5</v>
      </c>
      <c r="B8" s="4">
        <v>11</v>
      </c>
      <c r="C8" s="4">
        <v>9</v>
      </c>
    </row>
    <row r="9" spans="1:3" x14ac:dyDescent="0.3">
      <c r="A9" s="6">
        <v>6</v>
      </c>
      <c r="B9" s="4">
        <v>14</v>
      </c>
      <c r="C9" s="4">
        <v>12</v>
      </c>
    </row>
    <row r="10" spans="1:3" x14ac:dyDescent="0.3">
      <c r="A10" s="6">
        <v>7</v>
      </c>
      <c r="B10" s="4">
        <v>16</v>
      </c>
      <c r="C10" s="4">
        <v>11</v>
      </c>
    </row>
    <row r="11" spans="1:3" x14ac:dyDescent="0.3">
      <c r="A11" s="6">
        <v>8</v>
      </c>
      <c r="B11" s="4">
        <v>16</v>
      </c>
      <c r="C11" s="4">
        <v>13</v>
      </c>
    </row>
    <row r="12" spans="1:3" x14ac:dyDescent="0.3">
      <c r="A12" s="6">
        <v>9</v>
      </c>
      <c r="B12" s="4">
        <v>18</v>
      </c>
      <c r="C12" s="4">
        <v>14</v>
      </c>
    </row>
    <row r="13" spans="1:3" x14ac:dyDescent="0.3">
      <c r="A13" s="6">
        <v>10</v>
      </c>
      <c r="B13" s="4">
        <v>14</v>
      </c>
      <c r="C13" s="4">
        <v>12</v>
      </c>
    </row>
    <row r="14" spans="1:3" x14ac:dyDescent="0.3">
      <c r="A14" s="6">
        <v>11</v>
      </c>
      <c r="B14" s="4">
        <v>10</v>
      </c>
      <c r="C14" s="4">
        <v>9</v>
      </c>
    </row>
    <row r="15" spans="1:3" x14ac:dyDescent="0.3">
      <c r="A15" s="6">
        <v>12</v>
      </c>
      <c r="B15" s="4">
        <v>13</v>
      </c>
      <c r="C15" s="4">
        <v>9</v>
      </c>
    </row>
    <row r="16" spans="1:3" x14ac:dyDescent="0.3">
      <c r="A16" s="6">
        <v>13</v>
      </c>
      <c r="B16" s="4">
        <v>12</v>
      </c>
      <c r="C16" s="4">
        <v>11</v>
      </c>
    </row>
    <row r="17" spans="1:3" x14ac:dyDescent="0.3">
      <c r="A17" s="6">
        <v>14</v>
      </c>
      <c r="B17" s="4">
        <v>12</v>
      </c>
      <c r="C17" s="4">
        <v>11</v>
      </c>
    </row>
    <row r="18" spans="1:3" x14ac:dyDescent="0.3">
      <c r="A18" s="6">
        <v>15</v>
      </c>
      <c r="B18" s="4">
        <v>12</v>
      </c>
      <c r="C18" s="4">
        <v>10</v>
      </c>
    </row>
    <row r="19" spans="1:3" x14ac:dyDescent="0.3">
      <c r="A19" s="6">
        <v>16</v>
      </c>
      <c r="B19" s="4">
        <v>20</v>
      </c>
      <c r="C19" s="4">
        <v>15</v>
      </c>
    </row>
    <row r="20" spans="1:3" x14ac:dyDescent="0.3">
      <c r="A20" s="6">
        <v>17</v>
      </c>
      <c r="B20" s="4">
        <v>13</v>
      </c>
      <c r="C20" s="4">
        <v>10</v>
      </c>
    </row>
    <row r="21" spans="1:3" x14ac:dyDescent="0.3">
      <c r="A21" s="6">
        <v>18</v>
      </c>
      <c r="B21" s="4">
        <v>11</v>
      </c>
      <c r="C21" s="4">
        <v>9</v>
      </c>
    </row>
    <row r="22" spans="1:3" x14ac:dyDescent="0.3">
      <c r="A22" s="6">
        <v>19</v>
      </c>
      <c r="B22" s="4">
        <v>14</v>
      </c>
      <c r="C22" s="4">
        <v>12</v>
      </c>
    </row>
    <row r="23" spans="1:3" x14ac:dyDescent="0.3">
      <c r="A23" s="6">
        <v>20</v>
      </c>
      <c r="B23" s="4">
        <v>9</v>
      </c>
      <c r="C23" s="4">
        <v>8</v>
      </c>
    </row>
    <row r="24" spans="1:3" x14ac:dyDescent="0.3">
      <c r="A24" s="6">
        <v>21</v>
      </c>
      <c r="B24" s="4">
        <v>14</v>
      </c>
      <c r="C24" s="4">
        <v>13</v>
      </c>
    </row>
    <row r="25" spans="1:3" x14ac:dyDescent="0.3">
      <c r="A25" s="6">
        <v>22</v>
      </c>
      <c r="B25" s="4">
        <v>16</v>
      </c>
      <c r="C25" s="4">
        <v>11</v>
      </c>
    </row>
    <row r="26" spans="1:3" x14ac:dyDescent="0.3">
      <c r="A26" s="6">
        <v>23</v>
      </c>
      <c r="B26" s="4">
        <v>10</v>
      </c>
      <c r="C26" s="4">
        <v>8</v>
      </c>
    </row>
    <row r="27" spans="1:3" x14ac:dyDescent="0.3">
      <c r="A27" s="6">
        <v>24</v>
      </c>
      <c r="B27" s="4">
        <v>13</v>
      </c>
      <c r="C27" s="4">
        <v>11</v>
      </c>
    </row>
    <row r="28" spans="1:3" x14ac:dyDescent="0.3">
      <c r="A28" s="6">
        <v>25</v>
      </c>
      <c r="B28" s="4">
        <v>17</v>
      </c>
      <c r="C28" s="4">
        <v>11</v>
      </c>
    </row>
    <row r="29" spans="1:3" x14ac:dyDescent="0.3">
      <c r="A29" s="6">
        <v>26</v>
      </c>
      <c r="B29" s="4">
        <v>12</v>
      </c>
      <c r="C29" s="4">
        <v>11</v>
      </c>
    </row>
    <row r="30" spans="1:3" x14ac:dyDescent="0.3">
      <c r="A30" s="6">
        <v>27</v>
      </c>
      <c r="B30" s="4">
        <v>16</v>
      </c>
      <c r="C30" s="4">
        <v>13</v>
      </c>
    </row>
    <row r="31" spans="1:3" x14ac:dyDescent="0.3">
      <c r="A31" s="6">
        <v>28</v>
      </c>
      <c r="B31" s="4">
        <v>10</v>
      </c>
      <c r="C31" s="4">
        <v>10</v>
      </c>
    </row>
    <row r="32" spans="1:3" x14ac:dyDescent="0.3">
      <c r="A32" s="6">
        <v>29</v>
      </c>
      <c r="B32" s="4">
        <v>19</v>
      </c>
      <c r="C32" s="4">
        <v>13</v>
      </c>
    </row>
    <row r="33" spans="1:3" x14ac:dyDescent="0.3">
      <c r="A33" s="6">
        <v>30</v>
      </c>
      <c r="B33" s="4">
        <v>17</v>
      </c>
      <c r="C33" s="4">
        <v>13</v>
      </c>
    </row>
    <row r="34" spans="1:3" x14ac:dyDescent="0.3">
      <c r="A34" s="6">
        <v>31</v>
      </c>
      <c r="B34" s="4">
        <v>15</v>
      </c>
      <c r="C34" s="4">
        <v>14</v>
      </c>
    </row>
    <row r="35" spans="1:3" x14ac:dyDescent="0.3">
      <c r="A35" s="6">
        <v>32</v>
      </c>
      <c r="B35" s="4">
        <v>14</v>
      </c>
      <c r="C35" s="4">
        <v>12</v>
      </c>
    </row>
    <row r="36" spans="1:3" x14ac:dyDescent="0.3">
      <c r="A36" s="6">
        <v>33</v>
      </c>
      <c r="B36" s="4">
        <v>11</v>
      </c>
      <c r="C36" s="4">
        <v>10</v>
      </c>
    </row>
    <row r="37" spans="1:3" x14ac:dyDescent="0.3">
      <c r="A37" s="6">
        <v>34</v>
      </c>
      <c r="B37" s="4">
        <v>16</v>
      </c>
      <c r="C37" s="4">
        <v>12</v>
      </c>
    </row>
    <row r="38" spans="1:3" x14ac:dyDescent="0.3">
      <c r="A38" s="6">
        <v>35</v>
      </c>
      <c r="B38" s="4">
        <v>14</v>
      </c>
      <c r="C38" s="4">
        <v>11</v>
      </c>
    </row>
    <row r="39" spans="1:3" x14ac:dyDescent="0.3">
      <c r="A39" s="6">
        <v>36</v>
      </c>
      <c r="B39" s="4">
        <v>16</v>
      </c>
      <c r="C39" s="4">
        <v>12</v>
      </c>
    </row>
    <row r="40" spans="1:3" x14ac:dyDescent="0.3">
      <c r="A40" s="6">
        <v>37</v>
      </c>
      <c r="B40" s="4">
        <v>19</v>
      </c>
      <c r="C40" s="4">
        <v>16</v>
      </c>
    </row>
    <row r="41" spans="1:3" x14ac:dyDescent="0.3">
      <c r="A41" s="6">
        <v>38</v>
      </c>
      <c r="B41" s="4">
        <v>10</v>
      </c>
      <c r="C41" s="4">
        <v>8</v>
      </c>
    </row>
    <row r="42" spans="1:3" x14ac:dyDescent="0.3">
      <c r="A42" s="6">
        <v>39</v>
      </c>
      <c r="B42" s="4">
        <v>13</v>
      </c>
      <c r="C42" s="4">
        <v>10</v>
      </c>
    </row>
    <row r="43" spans="1:3" x14ac:dyDescent="0.3">
      <c r="A43" s="6">
        <v>40</v>
      </c>
      <c r="B43" s="4">
        <v>15</v>
      </c>
      <c r="C43" s="4">
        <v>13</v>
      </c>
    </row>
    <row r="44" spans="1:3" x14ac:dyDescent="0.3">
      <c r="A44" s="6" t="s">
        <v>620</v>
      </c>
      <c r="B44" s="4">
        <v>547</v>
      </c>
      <c r="C44" s="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Transactions_View</vt:lpstr>
      <vt:lpstr>Merchants</vt:lpstr>
      <vt:lpstr>HLOOKUP_Reference</vt:lpstr>
      <vt:lpstr>Daily_Merchant_Pivot</vt:lpstr>
      <vt:lpstr>Merchant_Status_Pivot</vt:lpstr>
      <vt:lpstr>Merchant_Day_Comparison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Shah</dc:creator>
  <cp:lastModifiedBy>Diya Shah</cp:lastModifiedBy>
  <dcterms:created xsi:type="dcterms:W3CDTF">2026-08-17T15:13:52Z</dcterms:created>
  <dcterms:modified xsi:type="dcterms:W3CDTF">2026-08-17T16:09:30Z</dcterms:modified>
</cp:coreProperties>
</file>